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871FEA-8441-4871-858A-908C6BD6DBF7}" xr6:coauthVersionLast="47" xr6:coauthVersionMax="47" xr10:uidLastSave="{00000000-0000-0000-0000-000000000000}"/>
  <bookViews>
    <workbookView xWindow="-120" yWindow="-120" windowWidth="20730" windowHeight="11160" xr2:uid="{EA50AD3C-71CA-4439-9125-A1E799579D49}"/>
  </bookViews>
  <sheets>
    <sheet name="المخزون" sheetId="1" r:id="rId1"/>
    <sheet name="حركة المخزون" sheetId="2" r:id="rId2"/>
    <sheet name="الجرد" sheetId="3" r:id="rId3"/>
    <sheet name="التقرير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A2" i="4"/>
  <c r="E6" i="4"/>
  <c r="G152" i="1"/>
  <c r="F152" i="1"/>
  <c r="E152" i="1"/>
  <c r="A10" i="4"/>
  <c r="A9" i="4"/>
  <c r="A8" i="4"/>
  <c r="B8" i="4" s="1"/>
  <c r="A7" i="4"/>
  <c r="B7" i="4" s="1"/>
  <c r="A6" i="4"/>
  <c r="B6" i="4" s="1"/>
  <c r="G3" i="3"/>
  <c r="G4" i="3"/>
  <c r="G5" i="3"/>
  <c r="G6" i="3"/>
  <c r="G7" i="3"/>
  <c r="G8" i="3"/>
  <c r="G9" i="3"/>
  <c r="G10" i="3"/>
  <c r="G11" i="3"/>
  <c r="G12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I2" i="1"/>
  <c r="H2" i="1"/>
  <c r="C6" i="4" l="1"/>
  <c r="D2" i="4"/>
  <c r="C7" i="4"/>
  <c r="D6" i="4"/>
  <c r="F6" i="4" s="1"/>
  <c r="D7" i="4"/>
  <c r="F7" i="4" s="1"/>
  <c r="E7" i="4"/>
  <c r="C9" i="4"/>
  <c r="C2" i="4"/>
  <c r="C10" i="4"/>
  <c r="C8" i="4"/>
  <c r="B2" i="4"/>
  <c r="H152" i="1"/>
  <c r="E8" i="4"/>
  <c r="D8" i="4"/>
  <c r="F8" i="4" s="1"/>
  <c r="E9" i="4"/>
  <c r="B9" i="4"/>
  <c r="E10" i="4"/>
  <c r="D10" i="4"/>
  <c r="F10" i="4" s="1"/>
  <c r="B10" i="4"/>
  <c r="D9" i="4"/>
  <c r="F9" i="4" s="1"/>
</calcChain>
</file>

<file path=xl/sharedStrings.xml><?xml version="1.0" encoding="utf-8"?>
<sst xmlns="http://schemas.openxmlformats.org/spreadsheetml/2006/main" count="713" uniqueCount="94">
  <si>
    <t>الفرع</t>
  </si>
  <si>
    <t>رمز الصنف</t>
  </si>
  <si>
    <t>اسم الصنف</t>
  </si>
  <si>
    <t>التصنيف</t>
  </si>
  <si>
    <t>المخزون الحالي</t>
  </si>
  <si>
    <t>حد إعادة الطلب</t>
  </si>
  <si>
    <t>مخزون المستودع</t>
  </si>
  <si>
    <t>فرع الرياض - العليا</t>
  </si>
  <si>
    <t>SKU-1001</t>
  </si>
  <si>
    <t>أرز بسمتي الشعلان 5 كجم</t>
  </si>
  <si>
    <t>أغذية ومشروبات</t>
  </si>
  <si>
    <t>SKU-1002</t>
  </si>
  <si>
    <t>زيت دوار الشمس عافية 1.5 لتر</t>
  </si>
  <si>
    <t>SKU-1003</t>
  </si>
  <si>
    <t>حليب نادك طويل الأجل (كرتون)</t>
  </si>
  <si>
    <t>SKU-1004</t>
  </si>
  <si>
    <t>سكر ناعم الأسرة 5 كجم</t>
  </si>
  <si>
    <t>SKU-1005</t>
  </si>
  <si>
    <t>تونة العلالي خفيف 170 جم</t>
  </si>
  <si>
    <t>SKU-1006</t>
  </si>
  <si>
    <t>شاي ليبتون أحمر 100 خيط</t>
  </si>
  <si>
    <t>SKU-1007</t>
  </si>
  <si>
    <t>قهوة نسكافيه كلاسيك 200 جم</t>
  </si>
  <si>
    <t>SKU-1008</t>
  </si>
  <si>
    <t>عسل سدر طبيعي الشفاء 500 جم</t>
  </si>
  <si>
    <t>SKU-2001</t>
  </si>
  <si>
    <t>مسحوق تايد أوتوماتيك 5 كجم</t>
  </si>
  <si>
    <t>منظفات</t>
  </si>
  <si>
    <t>SKU-2002</t>
  </si>
  <si>
    <t>سائل غسيل فيري 1 لتر</t>
  </si>
  <si>
    <t>SKU-2003</t>
  </si>
  <si>
    <t>مطهر ومعقم ديتول 750 مل</t>
  </si>
  <si>
    <t>SKU-2004</t>
  </si>
  <si>
    <t>مناديل كلينكس عبوة إعادة تعبئة</t>
  </si>
  <si>
    <t>SKU-2005</t>
  </si>
  <si>
    <t>أكياس نفايات كوينكس 50 جالون</t>
  </si>
  <si>
    <t>SKU-2006</t>
  </si>
  <si>
    <t>مبيض ملابس كلوركس 3.78 لتر</t>
  </si>
  <si>
    <t>SKU-2007</t>
  </si>
  <si>
    <t>معطر جو إيرويك بخاخ 300 مل</t>
  </si>
  <si>
    <t>SKU-3001</t>
  </si>
  <si>
    <t>شامبو بانتين ملكي 400 مل</t>
  </si>
  <si>
    <t>عناية شخصية</t>
  </si>
  <si>
    <t>SKU-3002</t>
  </si>
  <si>
    <t>صابون يد لوكس سائل 500 مل</t>
  </si>
  <si>
    <t>SKU-3003</t>
  </si>
  <si>
    <t>معجون كولجيت توتال 100 مل</t>
  </si>
  <si>
    <t>SKU-3004</t>
  </si>
  <si>
    <t>شفرات حلاقة جيليت بلو 3</t>
  </si>
  <si>
    <t>SKU-3005</t>
  </si>
  <si>
    <t>غسول وجه نيتروجينا</t>
  </si>
  <si>
    <t>SKU-3006</t>
  </si>
  <si>
    <t>كريم مرطب نيفيا 250 مل</t>
  </si>
  <si>
    <t>SKU-3007</t>
  </si>
  <si>
    <t>مزيل عرق نيفيا 50 مل</t>
  </si>
  <si>
    <t>SKU-4001</t>
  </si>
  <si>
    <t>غلاية كينوود كهربائية 1.7 لتر</t>
  </si>
  <si>
    <t>أجهزة منزلية</t>
  </si>
  <si>
    <t>SKU-4002</t>
  </si>
  <si>
    <t>خلاط مولينكس مع مطحنة</t>
  </si>
  <si>
    <t>SKU-4003</t>
  </si>
  <si>
    <t>مكواة بخار تيفال</t>
  </si>
  <si>
    <t>SKU-4004</t>
  </si>
  <si>
    <t>مقلاة هوائية فيليبس 4.1 لتر</t>
  </si>
  <si>
    <t>SKU-4005</t>
  </si>
  <si>
    <t>صانعة قهوة ديلونجي ديديكا</t>
  </si>
  <si>
    <t>SKU-4006</t>
  </si>
  <si>
    <t>توصيلة ساس 4 منافذ 3 متر</t>
  </si>
  <si>
    <t>SKU-4007</t>
  </si>
  <si>
    <t>ميزان طعام إلكتروني 5 كجم</t>
  </si>
  <si>
    <t>SKU-4008</t>
  </si>
  <si>
    <t>طقم أواني تيفال 7 قطع</t>
  </si>
  <si>
    <t>فرع جدة - التحلية</t>
  </si>
  <si>
    <t>فرع مكة - العزيزية</t>
  </si>
  <si>
    <t>فرع الدمام - الشاطئ</t>
  </si>
  <si>
    <t>فرع الرياض - النخيل</t>
  </si>
  <si>
    <t>كمية الاستيفاء المطلوبة</t>
  </si>
  <si>
    <t>حالة المخزون</t>
  </si>
  <si>
    <t>الإجمالي العام</t>
  </si>
  <si>
    <t>التاريخ</t>
  </si>
  <si>
    <t>رصيد بداية الفترة</t>
  </si>
  <si>
    <t>الكمية المستلمة</t>
  </si>
  <si>
    <t>الكمية المصروفة</t>
  </si>
  <si>
    <t>رصيد نهاية الفترة</t>
  </si>
  <si>
    <t>تاريخ الجرد</t>
  </si>
  <si>
    <t>رصيد النظام</t>
  </si>
  <si>
    <t>الكمية الفعلية</t>
  </si>
  <si>
    <t>الفرق</t>
  </si>
  <si>
    <t>إجمالي السجلات</t>
  </si>
  <si>
    <t>أصناف تحت الطلب</t>
  </si>
  <si>
    <t>الأصناف المدارة</t>
  </si>
  <si>
    <t>أصناف منتهية</t>
  </si>
  <si>
    <t>حالة الفرع التشغيلية</t>
  </si>
  <si>
    <t>إجمالي كميات الاستيفاء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</si>
</sst>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;[Red]\-#,##0;&quot;-&quot;"/>
  </numFmts>
  <fonts count="10" x14ac:knownFonts="1">
    <font>
      <sz val="11"/>
      <color theme="1"/>
      <name val="Calibri"/>
      <family val="2"/>
      <charset val="17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2"/>
      <color rgb="FF1F1F1F"/>
      <name val="Arial"/>
      <family val="2"/>
      <charset val="178"/>
    </font>
    <font>
      <b/>
      <sz val="12"/>
      <color theme="1"/>
      <name val="Calibri"/>
      <family val="2"/>
      <charset val="178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A46"/>
        <bgColor indexed="64"/>
      </patternFill>
    </fill>
    <fill>
      <patternFill patternType="solid">
        <fgColor rgb="FFD2A000"/>
        <bgColor indexed="64"/>
      </patternFill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right" vertical="center" wrapText="1" indent="1" readingOrder="2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 readingOrder="2"/>
    </xf>
    <xf numFmtId="165" fontId="0" fillId="0" borderId="0" xfId="0" applyNumberFormat="1"/>
    <xf numFmtId="0" fontId="5" fillId="0" borderId="0" xfId="0" applyFont="1"/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 wrapText="1" indent="1" readingOrder="2"/>
    </xf>
    <xf numFmtId="0" fontId="6" fillId="5" borderId="7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0" fontId="6" fillId="6" borderId="7" xfId="0" applyFont="1" applyFill="1" applyBorder="1" applyAlignment="1">
      <alignment horizontal="center" vertical="center" wrapText="1" readingOrder="2"/>
    </xf>
    <xf numFmtId="0" fontId="7" fillId="0" borderId="7" xfId="0" applyFont="1" applyBorder="1" applyAlignment="1">
      <alignment horizontal="right" vertical="center" wrapText="1" indent="1" readingOrder="2"/>
    </xf>
    <xf numFmtId="0" fontId="8" fillId="0" borderId="7" xfId="0" applyFont="1" applyBorder="1" applyAlignment="1">
      <alignment horizontal="center" vertical="center" wrapText="1" readingOrder="2"/>
    </xf>
    <xf numFmtId="0" fontId="7" fillId="3" borderId="7" xfId="0" applyFont="1" applyFill="1" applyBorder="1" applyAlignment="1">
      <alignment horizontal="right" vertical="center" wrapText="1" indent="1" readingOrder="2"/>
    </xf>
    <xf numFmtId="0" fontId="8" fillId="3" borderId="7" xfId="0" applyFont="1" applyFill="1" applyBorder="1" applyAlignment="1">
      <alignment horizontal="center" vertical="center" wrapText="1" readingOrder="2"/>
    </xf>
    <xf numFmtId="0" fontId="6" fillId="2" borderId="7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/>
    </xf>
    <xf numFmtId="0" fontId="0" fillId="0" borderId="7" xfId="0" applyBorder="1"/>
    <xf numFmtId="0" fontId="3" fillId="2" borderId="2" xfId="0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right" vertical="center" wrapText="1" indent="1" readingOrder="2"/>
    </xf>
    <xf numFmtId="164" fontId="3" fillId="2" borderId="6" xfId="0" applyNumberFormat="1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right" vertical="center" wrapText="1" indent="1" readingOrder="2"/>
    </xf>
    <xf numFmtId="164" fontId="1" fillId="0" borderId="7" xfId="0" applyNumberFormat="1" applyFont="1" applyBorder="1" applyAlignment="1">
      <alignment horizontal="right" vertical="center" wrapText="1" indent="1" readingOrder="2"/>
    </xf>
    <xf numFmtId="165" fontId="3" fillId="2" borderId="5" xfId="0" applyNumberFormat="1" applyFont="1" applyFill="1" applyBorder="1" applyAlignment="1">
      <alignment horizontal="center" vertical="center" wrapText="1" readingOrder="2"/>
    </xf>
    <xf numFmtId="165" fontId="1" fillId="0" borderId="7" xfId="0" applyNumberFormat="1" applyFont="1" applyBorder="1" applyAlignment="1">
      <alignment horizontal="right" vertical="center" wrapText="1" indent="1" readingOrder="2"/>
    </xf>
    <xf numFmtId="165" fontId="1" fillId="0" borderId="8" xfId="0" applyNumberFormat="1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5" formatCode="#,##0;[Red]\-#,##0;&quot;-&quot;"/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[$-F800]dddd\,\ mmmm\ dd\,\ yyyy"/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1B365D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[$-F800]dddd\,\ mmmm\ dd\,\ yyyy"/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1B365D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C4C7C5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1B365D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colors>
    <mruColors>
      <color rgb="FFFFCCCC"/>
      <color rgb="FFFF9999"/>
      <color rgb="FFFF9966"/>
      <color rgb="FFD2A000"/>
      <color rgb="FFE6AF00"/>
      <color rgb="FF009A46"/>
      <color rgb="FF69FF69"/>
      <color rgb="FF43FF47"/>
      <color rgb="FFFFCF37"/>
      <color rgb="FFEE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1&#1575;&#1604;&#1605;&#1582;&#1586;&#1608;&#160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المخزون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55E4-9E67-424C-A1C8-B622DE69FFD3}" name="Table1" displayName="Table1" ref="A1:I151" totalsRowShown="0" headerRowDxfId="38" dataDxfId="37" tableBorderDxfId="36">
  <autoFilter ref="A1:I151" xr:uid="{C04455E4-9E67-424C-A1C8-B622DE69FFD3}"/>
  <tableColumns count="9">
    <tableColumn id="1" xr3:uid="{B601BFFE-2DB4-4DE7-8BD8-D5D0E06A027D}" name="الفرع" dataDxfId="35"/>
    <tableColumn id="2" xr3:uid="{7B51D1A4-5FD5-4A0B-876B-CBEFEB26AE6E}" name="رمز الصنف" dataDxfId="34"/>
    <tableColumn id="3" xr3:uid="{52FDFD26-2E3B-46A7-9C3E-11046B917987}" name="اسم الصنف" dataDxfId="33"/>
    <tableColumn id="4" xr3:uid="{A815DB60-F8E7-40E5-B216-D139CBB24B86}" name="التصنيف" dataDxfId="32"/>
    <tableColumn id="5" xr3:uid="{FE73708C-B49B-4654-BDC0-7150F20D01C6}" name="المخزون الحالي" dataDxfId="31"/>
    <tableColumn id="6" xr3:uid="{C40C63A0-70EA-4950-83CB-80C035054302}" name="حد إعادة الطلب" dataDxfId="30"/>
    <tableColumn id="7" xr3:uid="{21DCAA7C-F680-420B-90E8-645CBD27F1A3}" name="مخزون المستودع" dataDxfId="29"/>
    <tableColumn id="8" xr3:uid="{0BE94D98-9301-4F1E-B8C5-21525A49FD3D}" name="كمية الاستيفاء المطلوبة" dataDxfId="28">
      <calculatedColumnFormula>IF(E2&lt;=F2, (F2*2)-E2, 0)</calculatedColumnFormula>
    </tableColumn>
    <tableColumn id="9" xr3:uid="{3B41566E-0365-4E27-876E-1B23153B6E47}" name="حالة المخزون" dataDxfId="27">
      <calculatedColumnFormula>IF(E2=0, "منتهي", IF(E2&lt;=F2, "منخفض (استيفاء)", IF(E2&gt;(F2*2.5), "مخزون زائد", "كافٍ ومستقر")))</calculatedColumn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D57D4-C643-461B-A247-62857399D718}" name="Table2" displayName="Table2" ref="A1:H16" totalsRowShown="0" headerRowDxfId="26" dataDxfId="24" headerRowBorderDxfId="25" tableBorderDxfId="23" totalsRowBorderDxfId="22">
  <autoFilter ref="A1:H16" xr:uid="{298D57D4-C643-461B-A247-62857399D718}"/>
  <tableColumns count="8">
    <tableColumn id="1" xr3:uid="{B798C368-0B64-4CB6-B0D1-C2BF75409CED}" name="التاريخ" dataDxfId="21"/>
    <tableColumn id="2" xr3:uid="{C44C624C-6F48-40FE-89FB-482F5294203E}" name="الفرع" dataDxfId="20"/>
    <tableColumn id="3" xr3:uid="{F03A9D91-484F-4D1D-ABC6-CBB151341610}" name="رمز الصنف" dataDxfId="19"/>
    <tableColumn id="4" xr3:uid="{FC694E74-8115-4FD8-A702-3990572F5A19}" name="اسم الصنف" dataDxfId="18"/>
    <tableColumn id="5" xr3:uid="{FED70DDB-5BE9-40B7-B1E7-802BD6CDE43A}" name="رصيد بداية الفترة" dataDxfId="17"/>
    <tableColumn id="6" xr3:uid="{3C525A47-71FA-4FC3-A165-BDD7EB60A14B}" name="الكمية المستلمة" dataDxfId="16"/>
    <tableColumn id="7" xr3:uid="{D6EC5708-7374-43A5-915D-A34E4DC51EA8}" name="الكمية المصروفة" dataDxfId="15"/>
    <tableColumn id="8" xr3:uid="{F9888272-8E6E-4455-A8B8-E109B10AA4CE}" name="رصيد نهاية الفترة" dataDxfId="14">
      <calculatedColumnFormula>E2+F2-G2</calculatedColumnFormula>
    </tableColumn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F4C9ED-7B7F-47D2-9BE8-F03C5D4186E8}" name="Table3" displayName="Table3" ref="A1:G12" totalsRowShown="0" headerRowDxfId="13" dataDxfId="11" headerRowBorderDxfId="12" tableBorderDxfId="10" totalsRowBorderDxfId="9">
  <autoFilter ref="A1:G12" xr:uid="{6DF4C9ED-7B7F-47D2-9BE8-F03C5D4186E8}"/>
  <tableColumns count="7">
    <tableColumn id="1" xr3:uid="{947C0B8A-EC37-4F15-B9DF-908B648CDBC6}" name="تاريخ الجرد" dataDxfId="8"/>
    <tableColumn id="2" xr3:uid="{9500DB60-FFB3-499B-92C8-923C82F730B3}" name="الفرع" dataDxfId="7"/>
    <tableColumn id="3" xr3:uid="{0D4DE131-4A59-4CFF-8633-395362E6AAF1}" name="رمز الصنف" dataDxfId="6"/>
    <tableColumn id="4" xr3:uid="{22605379-14DC-403D-903E-DF623631EBA4}" name="اسم الصنف" dataDxfId="5"/>
    <tableColumn id="5" xr3:uid="{16D2EEE6-B17C-433F-8B33-71EF3D46BF89}" name="رصيد النظام" dataDxfId="4"/>
    <tableColumn id="6" xr3:uid="{1E05478B-6305-482F-97E3-6DDD7850E520}" name="الكمية الفعلية" dataDxfId="3"/>
    <tableColumn id="7" xr3:uid="{81651984-A218-490F-B340-BBC132CA7C91}" name="الفرق" dataDxfId="2">
      <calculatedColumnFormula>F2-E2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33FA-8A8D-4581-9361-183B5DD09EC9}">
  <dimension ref="A1:I152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5" x14ac:dyDescent="0.25"/>
  <cols>
    <col min="1" max="1" width="16.85546875" customWidth="1"/>
    <col min="2" max="2" width="15.140625" customWidth="1"/>
    <col min="3" max="3" width="29.42578125" customWidth="1"/>
    <col min="4" max="4" width="14.85546875" customWidth="1"/>
    <col min="5" max="5" width="14.5703125" customWidth="1"/>
    <col min="6" max="6" width="14.140625" customWidth="1"/>
    <col min="7" max="7" width="15.42578125" customWidth="1"/>
    <col min="8" max="8" width="19.7109375" customWidth="1"/>
    <col min="9" max="9" width="15.28515625" customWidth="1"/>
  </cols>
  <sheetData>
    <row r="1" spans="1:9" ht="50.1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" t="s">
        <v>76</v>
      </c>
      <c r="I1" s="3" t="s">
        <v>77</v>
      </c>
    </row>
    <row r="2" spans="1:9" ht="20.100000000000001" customHeight="1" x14ac:dyDescent="0.25">
      <c r="A2" s="8" t="s">
        <v>7</v>
      </c>
      <c r="B2" s="8" t="s">
        <v>8</v>
      </c>
      <c r="C2" s="8" t="s">
        <v>9</v>
      </c>
      <c r="D2" s="8" t="s">
        <v>10</v>
      </c>
      <c r="E2" s="8">
        <v>10</v>
      </c>
      <c r="F2" s="8">
        <v>25</v>
      </c>
      <c r="G2" s="8">
        <v>180</v>
      </c>
      <c r="H2" s="18">
        <f>IF(E2&lt;=F2, (F2*2)-E2, 0)</f>
        <v>40</v>
      </c>
      <c r="I2" s="18" t="str">
        <f>IF(E2=0, "منتهي", IF(E2&lt;=F2, "منخفض (استيفاء)", IF(E2&gt;(F2*2.5), "مخزون زائد", "كافٍ ومستقر")))</f>
        <v>منخفض (استيفاء)</v>
      </c>
    </row>
    <row r="3" spans="1:9" ht="20.100000000000001" customHeight="1" x14ac:dyDescent="0.25">
      <c r="A3" s="8" t="s">
        <v>7</v>
      </c>
      <c r="B3" s="8" t="s">
        <v>11</v>
      </c>
      <c r="C3" s="8" t="s">
        <v>12</v>
      </c>
      <c r="D3" s="8" t="s">
        <v>10</v>
      </c>
      <c r="E3" s="8">
        <v>12</v>
      </c>
      <c r="F3" s="8">
        <v>30</v>
      </c>
      <c r="G3" s="8">
        <v>240</v>
      </c>
      <c r="H3" s="18">
        <f t="shared" ref="H3:H66" si="0">IF(E3&lt;=F3, (F3*2)-E3, 0)</f>
        <v>48</v>
      </c>
      <c r="I3" s="18" t="str">
        <f t="shared" ref="I3:I66" si="1">IF(E3=0, "منتهي", IF(E3&lt;=F3, "منخفض (استيفاء)", IF(E3&gt;(F3*2.5), "مخزون زائد", "كافٍ ومستقر")))</f>
        <v>منخفض (استيفاء)</v>
      </c>
    </row>
    <row r="4" spans="1:9" ht="20.100000000000001" customHeight="1" x14ac:dyDescent="0.25">
      <c r="A4" s="8" t="s">
        <v>7</v>
      </c>
      <c r="B4" s="8" t="s">
        <v>13</v>
      </c>
      <c r="C4" s="8" t="s">
        <v>14</v>
      </c>
      <c r="D4" s="8" t="s">
        <v>10</v>
      </c>
      <c r="E4" s="8">
        <v>0</v>
      </c>
      <c r="F4" s="8">
        <v>20</v>
      </c>
      <c r="G4" s="8">
        <v>0</v>
      </c>
      <c r="H4" s="18">
        <f t="shared" si="0"/>
        <v>40</v>
      </c>
      <c r="I4" s="18" t="str">
        <f t="shared" si="1"/>
        <v>منتهي</v>
      </c>
    </row>
    <row r="5" spans="1:9" ht="20.100000000000001" customHeight="1" x14ac:dyDescent="0.25">
      <c r="A5" s="8" t="s">
        <v>7</v>
      </c>
      <c r="B5" s="8" t="s">
        <v>15</v>
      </c>
      <c r="C5" s="8" t="s">
        <v>16</v>
      </c>
      <c r="D5" s="8" t="s">
        <v>10</v>
      </c>
      <c r="E5" s="8">
        <v>35</v>
      </c>
      <c r="F5" s="8">
        <v>20</v>
      </c>
      <c r="G5" s="8">
        <v>150</v>
      </c>
      <c r="H5" s="18">
        <f t="shared" si="0"/>
        <v>0</v>
      </c>
      <c r="I5" s="18" t="str">
        <f t="shared" si="1"/>
        <v>كافٍ ومستقر</v>
      </c>
    </row>
    <row r="6" spans="1:9" ht="20.100000000000001" customHeight="1" x14ac:dyDescent="0.25">
      <c r="A6" s="8" t="s">
        <v>7</v>
      </c>
      <c r="B6" s="8" t="s">
        <v>17</v>
      </c>
      <c r="C6" s="8" t="s">
        <v>18</v>
      </c>
      <c r="D6" s="8" t="s">
        <v>10</v>
      </c>
      <c r="E6" s="8">
        <v>16</v>
      </c>
      <c r="F6" s="8">
        <v>40</v>
      </c>
      <c r="G6" s="8">
        <v>320</v>
      </c>
      <c r="H6" s="18">
        <f t="shared" si="0"/>
        <v>64</v>
      </c>
      <c r="I6" s="18" t="str">
        <f t="shared" si="1"/>
        <v>منخفض (استيفاء)</v>
      </c>
    </row>
    <row r="7" spans="1:9" ht="20.100000000000001" customHeight="1" x14ac:dyDescent="0.25">
      <c r="A7" s="8" t="s">
        <v>7</v>
      </c>
      <c r="B7" s="8" t="s">
        <v>19</v>
      </c>
      <c r="C7" s="8" t="s">
        <v>20</v>
      </c>
      <c r="D7" s="8" t="s">
        <v>10</v>
      </c>
      <c r="E7" s="8">
        <v>45</v>
      </c>
      <c r="F7" s="8">
        <v>25</v>
      </c>
      <c r="G7" s="8">
        <v>75</v>
      </c>
      <c r="H7" s="18">
        <f t="shared" si="0"/>
        <v>0</v>
      </c>
      <c r="I7" s="18" t="str">
        <f t="shared" si="1"/>
        <v>كافٍ ومستقر</v>
      </c>
    </row>
    <row r="8" spans="1:9" ht="20.100000000000001" customHeight="1" x14ac:dyDescent="0.25">
      <c r="A8" s="8" t="s">
        <v>7</v>
      </c>
      <c r="B8" s="8" t="s">
        <v>21</v>
      </c>
      <c r="C8" s="8" t="s">
        <v>22</v>
      </c>
      <c r="D8" s="8" t="s">
        <v>10</v>
      </c>
      <c r="E8" s="8">
        <v>12</v>
      </c>
      <c r="F8" s="8">
        <v>15</v>
      </c>
      <c r="G8" s="8">
        <v>45</v>
      </c>
      <c r="H8" s="18">
        <f t="shared" si="0"/>
        <v>18</v>
      </c>
      <c r="I8" s="18" t="str">
        <f t="shared" si="1"/>
        <v>منخفض (استيفاء)</v>
      </c>
    </row>
    <row r="9" spans="1:9" ht="20.100000000000001" customHeight="1" x14ac:dyDescent="0.25">
      <c r="A9" s="8" t="s">
        <v>7</v>
      </c>
      <c r="B9" s="8" t="s">
        <v>23</v>
      </c>
      <c r="C9" s="8" t="s">
        <v>24</v>
      </c>
      <c r="D9" s="8" t="s">
        <v>10</v>
      </c>
      <c r="E9" s="8">
        <v>35</v>
      </c>
      <c r="F9" s="8">
        <v>10</v>
      </c>
      <c r="G9" s="8">
        <v>30</v>
      </c>
      <c r="H9" s="18">
        <f t="shared" si="0"/>
        <v>0</v>
      </c>
      <c r="I9" s="18" t="str">
        <f t="shared" si="1"/>
        <v>مخزون زائد</v>
      </c>
    </row>
    <row r="10" spans="1:9" ht="20.100000000000001" customHeight="1" x14ac:dyDescent="0.25">
      <c r="A10" s="8" t="s">
        <v>7</v>
      </c>
      <c r="B10" s="8" t="s">
        <v>25</v>
      </c>
      <c r="C10" s="8" t="s">
        <v>26</v>
      </c>
      <c r="D10" s="8" t="s">
        <v>27</v>
      </c>
      <c r="E10" s="8">
        <v>8</v>
      </c>
      <c r="F10" s="8">
        <v>20</v>
      </c>
      <c r="G10" s="8">
        <v>120</v>
      </c>
      <c r="H10" s="18">
        <f t="shared" si="0"/>
        <v>32</v>
      </c>
      <c r="I10" s="18" t="str">
        <f t="shared" si="1"/>
        <v>منخفض (استيفاء)</v>
      </c>
    </row>
    <row r="11" spans="1:9" ht="20.100000000000001" customHeight="1" x14ac:dyDescent="0.25">
      <c r="A11" s="8" t="s">
        <v>7</v>
      </c>
      <c r="B11" s="8" t="s">
        <v>28</v>
      </c>
      <c r="C11" s="8" t="s">
        <v>29</v>
      </c>
      <c r="D11" s="8" t="s">
        <v>27</v>
      </c>
      <c r="E11" s="8">
        <v>65</v>
      </c>
      <c r="F11" s="8">
        <v>35</v>
      </c>
      <c r="G11" s="8">
        <v>210</v>
      </c>
      <c r="H11" s="18">
        <f t="shared" si="0"/>
        <v>0</v>
      </c>
      <c r="I11" s="18" t="str">
        <f t="shared" si="1"/>
        <v>كافٍ ومستقر</v>
      </c>
    </row>
    <row r="12" spans="1:9" ht="20.100000000000001" customHeight="1" x14ac:dyDescent="0.25">
      <c r="A12" s="8" t="s">
        <v>7</v>
      </c>
      <c r="B12" s="8" t="s">
        <v>30</v>
      </c>
      <c r="C12" s="8" t="s">
        <v>31</v>
      </c>
      <c r="D12" s="8" t="s">
        <v>27</v>
      </c>
      <c r="E12" s="8">
        <v>0</v>
      </c>
      <c r="F12" s="8">
        <v>15</v>
      </c>
      <c r="G12" s="8">
        <v>50</v>
      </c>
      <c r="H12" s="18">
        <f t="shared" si="0"/>
        <v>30</v>
      </c>
      <c r="I12" s="18" t="str">
        <f t="shared" si="1"/>
        <v>منتهي</v>
      </c>
    </row>
    <row r="13" spans="1:9" ht="20.100000000000001" customHeight="1" x14ac:dyDescent="0.25">
      <c r="A13" s="8" t="s">
        <v>7</v>
      </c>
      <c r="B13" s="8" t="s">
        <v>32</v>
      </c>
      <c r="C13" s="8" t="s">
        <v>33</v>
      </c>
      <c r="D13" s="8" t="s">
        <v>27</v>
      </c>
      <c r="E13" s="8">
        <v>50</v>
      </c>
      <c r="F13" s="8">
        <v>30</v>
      </c>
      <c r="G13" s="8">
        <v>0</v>
      </c>
      <c r="H13" s="18">
        <f t="shared" si="0"/>
        <v>0</v>
      </c>
      <c r="I13" s="18" t="str">
        <f t="shared" si="1"/>
        <v>كافٍ ومستقر</v>
      </c>
    </row>
    <row r="14" spans="1:9" ht="20.100000000000001" customHeight="1" x14ac:dyDescent="0.25">
      <c r="A14" s="8" t="s">
        <v>7</v>
      </c>
      <c r="B14" s="8" t="s">
        <v>34</v>
      </c>
      <c r="C14" s="8" t="s">
        <v>35</v>
      </c>
      <c r="D14" s="8" t="s">
        <v>27</v>
      </c>
      <c r="E14" s="8">
        <v>40</v>
      </c>
      <c r="F14" s="8">
        <v>25</v>
      </c>
      <c r="G14" s="8">
        <v>140</v>
      </c>
      <c r="H14" s="18">
        <f t="shared" si="0"/>
        <v>0</v>
      </c>
      <c r="I14" s="18" t="str">
        <f t="shared" si="1"/>
        <v>كافٍ ومستقر</v>
      </c>
    </row>
    <row r="15" spans="1:9" ht="20.100000000000001" customHeight="1" x14ac:dyDescent="0.25">
      <c r="A15" s="8" t="s">
        <v>7</v>
      </c>
      <c r="B15" s="8" t="s">
        <v>36</v>
      </c>
      <c r="C15" s="8" t="s">
        <v>37</v>
      </c>
      <c r="D15" s="8" t="s">
        <v>27</v>
      </c>
      <c r="E15" s="8">
        <v>30</v>
      </c>
      <c r="F15" s="8">
        <v>20</v>
      </c>
      <c r="G15" s="8">
        <v>90</v>
      </c>
      <c r="H15" s="18">
        <f t="shared" si="0"/>
        <v>0</v>
      </c>
      <c r="I15" s="18" t="str">
        <f t="shared" si="1"/>
        <v>كافٍ ومستقر</v>
      </c>
    </row>
    <row r="16" spans="1:9" ht="20.100000000000001" customHeight="1" x14ac:dyDescent="0.25">
      <c r="A16" s="8" t="s">
        <v>7</v>
      </c>
      <c r="B16" s="8" t="s">
        <v>38</v>
      </c>
      <c r="C16" s="8" t="s">
        <v>39</v>
      </c>
      <c r="D16" s="8" t="s">
        <v>27</v>
      </c>
      <c r="E16" s="8">
        <v>22</v>
      </c>
      <c r="F16" s="8">
        <v>12</v>
      </c>
      <c r="G16" s="8">
        <v>40</v>
      </c>
      <c r="H16" s="18">
        <f t="shared" si="0"/>
        <v>0</v>
      </c>
      <c r="I16" s="18" t="str">
        <f t="shared" si="1"/>
        <v>كافٍ ومستقر</v>
      </c>
    </row>
    <row r="17" spans="1:9" ht="20.100000000000001" customHeight="1" x14ac:dyDescent="0.25">
      <c r="A17" s="8" t="s">
        <v>7</v>
      </c>
      <c r="B17" s="8" t="s">
        <v>40</v>
      </c>
      <c r="C17" s="8" t="s">
        <v>41</v>
      </c>
      <c r="D17" s="8" t="s">
        <v>42</v>
      </c>
      <c r="E17" s="8">
        <v>8</v>
      </c>
      <c r="F17" s="8">
        <v>20</v>
      </c>
      <c r="G17" s="8">
        <v>110</v>
      </c>
      <c r="H17" s="18">
        <f t="shared" si="0"/>
        <v>32</v>
      </c>
      <c r="I17" s="18" t="str">
        <f t="shared" si="1"/>
        <v>منخفض (استيفاء)</v>
      </c>
    </row>
    <row r="18" spans="1:9" ht="20.100000000000001" customHeight="1" x14ac:dyDescent="0.25">
      <c r="A18" s="8" t="s">
        <v>7</v>
      </c>
      <c r="B18" s="8" t="s">
        <v>43</v>
      </c>
      <c r="C18" s="8" t="s">
        <v>44</v>
      </c>
      <c r="D18" s="8" t="s">
        <v>42</v>
      </c>
      <c r="E18" s="8">
        <v>45</v>
      </c>
      <c r="F18" s="8">
        <v>25</v>
      </c>
      <c r="G18" s="8">
        <v>130</v>
      </c>
      <c r="H18" s="18">
        <f t="shared" si="0"/>
        <v>0</v>
      </c>
      <c r="I18" s="18" t="str">
        <f t="shared" si="1"/>
        <v>كافٍ ومستقر</v>
      </c>
    </row>
    <row r="19" spans="1:9" ht="20.100000000000001" customHeight="1" x14ac:dyDescent="0.25">
      <c r="A19" s="8" t="s">
        <v>7</v>
      </c>
      <c r="B19" s="8" t="s">
        <v>45</v>
      </c>
      <c r="C19" s="8" t="s">
        <v>46</v>
      </c>
      <c r="D19" s="8" t="s">
        <v>42</v>
      </c>
      <c r="E19" s="8">
        <v>35</v>
      </c>
      <c r="F19" s="8">
        <v>20</v>
      </c>
      <c r="G19" s="8">
        <v>80</v>
      </c>
      <c r="H19" s="18">
        <f t="shared" si="0"/>
        <v>0</v>
      </c>
      <c r="I19" s="18" t="str">
        <f t="shared" si="1"/>
        <v>كافٍ ومستقر</v>
      </c>
    </row>
    <row r="20" spans="1:9" ht="20.100000000000001" customHeight="1" x14ac:dyDescent="0.25">
      <c r="A20" s="8" t="s">
        <v>7</v>
      </c>
      <c r="B20" s="8" t="s">
        <v>47</v>
      </c>
      <c r="C20" s="8" t="s">
        <v>48</v>
      </c>
      <c r="D20" s="8" t="s">
        <v>42</v>
      </c>
      <c r="E20" s="8">
        <v>12</v>
      </c>
      <c r="F20" s="8">
        <v>15</v>
      </c>
      <c r="G20" s="8">
        <v>20</v>
      </c>
      <c r="H20" s="18">
        <f t="shared" si="0"/>
        <v>18</v>
      </c>
      <c r="I20" s="18" t="str">
        <f t="shared" si="1"/>
        <v>منخفض (استيفاء)</v>
      </c>
    </row>
    <row r="21" spans="1:9" ht="20.100000000000001" customHeight="1" x14ac:dyDescent="0.25">
      <c r="A21" s="8" t="s">
        <v>7</v>
      </c>
      <c r="B21" s="8" t="s">
        <v>49</v>
      </c>
      <c r="C21" s="8" t="s">
        <v>50</v>
      </c>
      <c r="D21" s="8" t="s">
        <v>42</v>
      </c>
      <c r="E21" s="8">
        <v>18</v>
      </c>
      <c r="F21" s="8">
        <v>10</v>
      </c>
      <c r="G21" s="8">
        <v>15</v>
      </c>
      <c r="H21" s="18">
        <f t="shared" si="0"/>
        <v>0</v>
      </c>
      <c r="I21" s="18" t="str">
        <f t="shared" si="1"/>
        <v>كافٍ ومستقر</v>
      </c>
    </row>
    <row r="22" spans="1:9" ht="20.100000000000001" customHeight="1" x14ac:dyDescent="0.25">
      <c r="A22" s="8" t="s">
        <v>7</v>
      </c>
      <c r="B22" s="8" t="s">
        <v>51</v>
      </c>
      <c r="C22" s="8" t="s">
        <v>52</v>
      </c>
      <c r="D22" s="8" t="s">
        <v>42</v>
      </c>
      <c r="E22" s="8">
        <v>28</v>
      </c>
      <c r="F22" s="8">
        <v>15</v>
      </c>
      <c r="G22" s="8">
        <v>55</v>
      </c>
      <c r="H22" s="18">
        <f t="shared" si="0"/>
        <v>0</v>
      </c>
      <c r="I22" s="18" t="str">
        <f t="shared" si="1"/>
        <v>كافٍ ومستقر</v>
      </c>
    </row>
    <row r="23" spans="1:9" ht="20.100000000000001" customHeight="1" x14ac:dyDescent="0.25">
      <c r="A23" s="8" t="s">
        <v>7</v>
      </c>
      <c r="B23" s="8" t="s">
        <v>53</v>
      </c>
      <c r="C23" s="8" t="s">
        <v>54</v>
      </c>
      <c r="D23" s="8" t="s">
        <v>42</v>
      </c>
      <c r="E23" s="8">
        <v>32</v>
      </c>
      <c r="F23" s="8">
        <v>20</v>
      </c>
      <c r="G23" s="8">
        <v>60</v>
      </c>
      <c r="H23" s="18">
        <f t="shared" si="0"/>
        <v>0</v>
      </c>
      <c r="I23" s="18" t="str">
        <f t="shared" si="1"/>
        <v>كافٍ ومستقر</v>
      </c>
    </row>
    <row r="24" spans="1:9" ht="20.100000000000001" customHeight="1" x14ac:dyDescent="0.25">
      <c r="A24" s="8" t="s">
        <v>7</v>
      </c>
      <c r="B24" s="8" t="s">
        <v>55</v>
      </c>
      <c r="C24" s="8" t="s">
        <v>56</v>
      </c>
      <c r="D24" s="8" t="s">
        <v>57</v>
      </c>
      <c r="E24" s="8">
        <v>4</v>
      </c>
      <c r="F24" s="8">
        <v>6</v>
      </c>
      <c r="G24" s="8">
        <v>12</v>
      </c>
      <c r="H24" s="18">
        <f t="shared" si="0"/>
        <v>8</v>
      </c>
      <c r="I24" s="18" t="str">
        <f t="shared" si="1"/>
        <v>منخفض (استيفاء)</v>
      </c>
    </row>
    <row r="25" spans="1:9" ht="20.100000000000001" customHeight="1" x14ac:dyDescent="0.25">
      <c r="A25" s="8" t="s">
        <v>7</v>
      </c>
      <c r="B25" s="8" t="s">
        <v>58</v>
      </c>
      <c r="C25" s="8" t="s">
        <v>59</v>
      </c>
      <c r="D25" s="8" t="s">
        <v>57</v>
      </c>
      <c r="E25" s="8">
        <v>8</v>
      </c>
      <c r="F25" s="8">
        <v>5</v>
      </c>
      <c r="G25" s="8">
        <v>8</v>
      </c>
      <c r="H25" s="18">
        <f t="shared" si="0"/>
        <v>0</v>
      </c>
      <c r="I25" s="18" t="str">
        <f t="shared" si="1"/>
        <v>كافٍ ومستقر</v>
      </c>
    </row>
    <row r="26" spans="1:9" ht="20.100000000000001" customHeight="1" x14ac:dyDescent="0.25">
      <c r="A26" s="8" t="s">
        <v>7</v>
      </c>
      <c r="B26" s="8" t="s">
        <v>60</v>
      </c>
      <c r="C26" s="8" t="s">
        <v>61</v>
      </c>
      <c r="D26" s="8" t="s">
        <v>57</v>
      </c>
      <c r="E26" s="8">
        <v>2</v>
      </c>
      <c r="F26" s="8">
        <v>5</v>
      </c>
      <c r="G26" s="8">
        <v>0</v>
      </c>
      <c r="H26" s="18">
        <f t="shared" si="0"/>
        <v>8</v>
      </c>
      <c r="I26" s="18" t="str">
        <f t="shared" si="1"/>
        <v>منخفض (استيفاء)</v>
      </c>
    </row>
    <row r="27" spans="1:9" ht="20.100000000000001" customHeight="1" x14ac:dyDescent="0.25">
      <c r="A27" s="8" t="s">
        <v>7</v>
      </c>
      <c r="B27" s="8" t="s">
        <v>62</v>
      </c>
      <c r="C27" s="8" t="s">
        <v>63</v>
      </c>
      <c r="D27" s="8" t="s">
        <v>57</v>
      </c>
      <c r="E27" s="8">
        <v>7</v>
      </c>
      <c r="F27" s="8">
        <v>4</v>
      </c>
      <c r="G27" s="8">
        <v>6</v>
      </c>
      <c r="H27" s="18">
        <f t="shared" si="0"/>
        <v>0</v>
      </c>
      <c r="I27" s="18" t="str">
        <f t="shared" si="1"/>
        <v>كافٍ ومستقر</v>
      </c>
    </row>
    <row r="28" spans="1:9" ht="20.100000000000001" customHeight="1" x14ac:dyDescent="0.25">
      <c r="A28" s="8" t="s">
        <v>7</v>
      </c>
      <c r="B28" s="8" t="s">
        <v>64</v>
      </c>
      <c r="C28" s="8" t="s">
        <v>65</v>
      </c>
      <c r="D28" s="8" t="s">
        <v>57</v>
      </c>
      <c r="E28" s="8">
        <v>5</v>
      </c>
      <c r="F28" s="8">
        <v>3</v>
      </c>
      <c r="G28" s="8">
        <v>4</v>
      </c>
      <c r="H28" s="18">
        <f t="shared" si="0"/>
        <v>0</v>
      </c>
      <c r="I28" s="18" t="str">
        <f t="shared" si="1"/>
        <v>كافٍ ومستقر</v>
      </c>
    </row>
    <row r="29" spans="1:9" ht="20.100000000000001" customHeight="1" x14ac:dyDescent="0.25">
      <c r="A29" s="8" t="s">
        <v>7</v>
      </c>
      <c r="B29" s="8" t="s">
        <v>66</v>
      </c>
      <c r="C29" s="8" t="s">
        <v>67</v>
      </c>
      <c r="D29" s="8" t="s">
        <v>57</v>
      </c>
      <c r="E29" s="8">
        <v>20</v>
      </c>
      <c r="F29" s="8">
        <v>12</v>
      </c>
      <c r="G29" s="8">
        <v>45</v>
      </c>
      <c r="H29" s="18">
        <f t="shared" si="0"/>
        <v>0</v>
      </c>
      <c r="I29" s="18" t="str">
        <f t="shared" si="1"/>
        <v>كافٍ ومستقر</v>
      </c>
    </row>
    <row r="30" spans="1:9" ht="20.100000000000001" customHeight="1" x14ac:dyDescent="0.25">
      <c r="A30" s="8" t="s">
        <v>7</v>
      </c>
      <c r="B30" s="8" t="s">
        <v>68</v>
      </c>
      <c r="C30" s="8" t="s">
        <v>69</v>
      </c>
      <c r="D30" s="8" t="s">
        <v>57</v>
      </c>
      <c r="E30" s="8">
        <v>18</v>
      </c>
      <c r="F30" s="8">
        <v>5</v>
      </c>
      <c r="G30" s="8">
        <v>10</v>
      </c>
      <c r="H30" s="18">
        <f t="shared" si="0"/>
        <v>0</v>
      </c>
      <c r="I30" s="18" t="str">
        <f t="shared" si="1"/>
        <v>مخزون زائد</v>
      </c>
    </row>
    <row r="31" spans="1:9" ht="20.100000000000001" customHeight="1" x14ac:dyDescent="0.25">
      <c r="A31" s="8" t="s">
        <v>7</v>
      </c>
      <c r="B31" s="8" t="s">
        <v>70</v>
      </c>
      <c r="C31" s="8" t="s">
        <v>71</v>
      </c>
      <c r="D31" s="8" t="s">
        <v>57</v>
      </c>
      <c r="E31" s="8">
        <v>6</v>
      </c>
      <c r="F31" s="8">
        <v>3</v>
      </c>
      <c r="G31" s="8">
        <v>5</v>
      </c>
      <c r="H31" s="18">
        <f t="shared" si="0"/>
        <v>0</v>
      </c>
      <c r="I31" s="18" t="str">
        <f t="shared" si="1"/>
        <v>كافٍ ومستقر</v>
      </c>
    </row>
    <row r="32" spans="1:9" ht="20.100000000000001" customHeight="1" x14ac:dyDescent="0.25">
      <c r="A32" s="8" t="s">
        <v>72</v>
      </c>
      <c r="B32" s="8" t="s">
        <v>8</v>
      </c>
      <c r="C32" s="8" t="s">
        <v>9</v>
      </c>
      <c r="D32" s="8" t="s">
        <v>10</v>
      </c>
      <c r="E32" s="8">
        <v>42</v>
      </c>
      <c r="F32" s="8">
        <v>25</v>
      </c>
      <c r="G32" s="8">
        <v>180</v>
      </c>
      <c r="H32" s="18">
        <f t="shared" si="0"/>
        <v>0</v>
      </c>
      <c r="I32" s="18" t="str">
        <f t="shared" si="1"/>
        <v>كافٍ ومستقر</v>
      </c>
    </row>
    <row r="33" spans="1:9" ht="20.100000000000001" customHeight="1" x14ac:dyDescent="0.25">
      <c r="A33" s="8" t="s">
        <v>72</v>
      </c>
      <c r="B33" s="8" t="s">
        <v>11</v>
      </c>
      <c r="C33" s="8" t="s">
        <v>12</v>
      </c>
      <c r="D33" s="8" t="s">
        <v>10</v>
      </c>
      <c r="E33" s="8">
        <v>55</v>
      </c>
      <c r="F33" s="8">
        <v>30</v>
      </c>
      <c r="G33" s="8">
        <v>240</v>
      </c>
      <c r="H33" s="18">
        <f t="shared" si="0"/>
        <v>0</v>
      </c>
      <c r="I33" s="18" t="str">
        <f t="shared" si="1"/>
        <v>كافٍ ومستقر</v>
      </c>
    </row>
    <row r="34" spans="1:9" ht="20.100000000000001" customHeight="1" x14ac:dyDescent="0.25">
      <c r="A34" s="8" t="s">
        <v>72</v>
      </c>
      <c r="B34" s="8" t="s">
        <v>13</v>
      </c>
      <c r="C34" s="8" t="s">
        <v>14</v>
      </c>
      <c r="D34" s="8" t="s">
        <v>10</v>
      </c>
      <c r="E34" s="8">
        <v>0</v>
      </c>
      <c r="F34" s="8">
        <v>20</v>
      </c>
      <c r="G34" s="8">
        <v>0</v>
      </c>
      <c r="H34" s="18">
        <f t="shared" si="0"/>
        <v>40</v>
      </c>
      <c r="I34" s="18" t="str">
        <f t="shared" si="1"/>
        <v>منتهي</v>
      </c>
    </row>
    <row r="35" spans="1:9" ht="20.100000000000001" customHeight="1" x14ac:dyDescent="0.25">
      <c r="A35" s="8" t="s">
        <v>72</v>
      </c>
      <c r="B35" s="8" t="s">
        <v>15</v>
      </c>
      <c r="C35" s="8" t="s">
        <v>16</v>
      </c>
      <c r="D35" s="8" t="s">
        <v>10</v>
      </c>
      <c r="E35" s="8">
        <v>40</v>
      </c>
      <c r="F35" s="8">
        <v>20</v>
      </c>
      <c r="G35" s="8">
        <v>150</v>
      </c>
      <c r="H35" s="18">
        <f t="shared" si="0"/>
        <v>0</v>
      </c>
      <c r="I35" s="18" t="str">
        <f t="shared" si="1"/>
        <v>كافٍ ومستقر</v>
      </c>
    </row>
    <row r="36" spans="1:9" ht="20.100000000000001" customHeight="1" x14ac:dyDescent="0.25">
      <c r="A36" s="8" t="s">
        <v>72</v>
      </c>
      <c r="B36" s="8" t="s">
        <v>17</v>
      </c>
      <c r="C36" s="8" t="s">
        <v>18</v>
      </c>
      <c r="D36" s="8" t="s">
        <v>10</v>
      </c>
      <c r="E36" s="8">
        <v>70</v>
      </c>
      <c r="F36" s="8">
        <v>40</v>
      </c>
      <c r="G36" s="8">
        <v>320</v>
      </c>
      <c r="H36" s="18">
        <f t="shared" si="0"/>
        <v>0</v>
      </c>
      <c r="I36" s="18" t="str">
        <f t="shared" si="1"/>
        <v>كافٍ ومستقر</v>
      </c>
    </row>
    <row r="37" spans="1:9" ht="20.100000000000001" customHeight="1" x14ac:dyDescent="0.25">
      <c r="A37" s="8" t="s">
        <v>72</v>
      </c>
      <c r="B37" s="8" t="s">
        <v>19</v>
      </c>
      <c r="C37" s="8" t="s">
        <v>20</v>
      </c>
      <c r="D37" s="8" t="s">
        <v>10</v>
      </c>
      <c r="E37" s="8">
        <v>18</v>
      </c>
      <c r="F37" s="8">
        <v>25</v>
      </c>
      <c r="G37" s="8">
        <v>75</v>
      </c>
      <c r="H37" s="18">
        <f t="shared" si="0"/>
        <v>32</v>
      </c>
      <c r="I37" s="18" t="str">
        <f t="shared" si="1"/>
        <v>منخفض (استيفاء)</v>
      </c>
    </row>
    <row r="38" spans="1:9" ht="20.100000000000001" customHeight="1" x14ac:dyDescent="0.25">
      <c r="A38" s="8" t="s">
        <v>72</v>
      </c>
      <c r="B38" s="8" t="s">
        <v>21</v>
      </c>
      <c r="C38" s="8" t="s">
        <v>22</v>
      </c>
      <c r="D38" s="8" t="s">
        <v>10</v>
      </c>
      <c r="E38" s="8">
        <v>30</v>
      </c>
      <c r="F38" s="8">
        <v>15</v>
      </c>
      <c r="G38" s="8">
        <v>45</v>
      </c>
      <c r="H38" s="18">
        <f t="shared" si="0"/>
        <v>0</v>
      </c>
      <c r="I38" s="18" t="str">
        <f t="shared" si="1"/>
        <v>كافٍ ومستقر</v>
      </c>
    </row>
    <row r="39" spans="1:9" ht="20.100000000000001" customHeight="1" x14ac:dyDescent="0.25">
      <c r="A39" s="8" t="s">
        <v>72</v>
      </c>
      <c r="B39" s="8" t="s">
        <v>23</v>
      </c>
      <c r="C39" s="8" t="s">
        <v>24</v>
      </c>
      <c r="D39" s="8" t="s">
        <v>10</v>
      </c>
      <c r="E39" s="8">
        <v>22</v>
      </c>
      <c r="F39" s="8">
        <v>10</v>
      </c>
      <c r="G39" s="8">
        <v>30</v>
      </c>
      <c r="H39" s="18">
        <f t="shared" si="0"/>
        <v>0</v>
      </c>
      <c r="I39" s="18" t="str">
        <f t="shared" si="1"/>
        <v>كافٍ ومستقر</v>
      </c>
    </row>
    <row r="40" spans="1:9" ht="20.100000000000001" customHeight="1" x14ac:dyDescent="0.25">
      <c r="A40" s="8" t="s">
        <v>72</v>
      </c>
      <c r="B40" s="8" t="s">
        <v>25</v>
      </c>
      <c r="C40" s="8" t="s">
        <v>26</v>
      </c>
      <c r="D40" s="8" t="s">
        <v>27</v>
      </c>
      <c r="E40" s="8">
        <v>38</v>
      </c>
      <c r="F40" s="8">
        <v>20</v>
      </c>
      <c r="G40" s="8">
        <v>120</v>
      </c>
      <c r="H40" s="18">
        <f t="shared" si="0"/>
        <v>0</v>
      </c>
      <c r="I40" s="18" t="str">
        <f t="shared" si="1"/>
        <v>كافٍ ومستقر</v>
      </c>
    </row>
    <row r="41" spans="1:9" ht="20.100000000000001" customHeight="1" x14ac:dyDescent="0.25">
      <c r="A41" s="8" t="s">
        <v>72</v>
      </c>
      <c r="B41" s="8" t="s">
        <v>28</v>
      </c>
      <c r="C41" s="8" t="s">
        <v>29</v>
      </c>
      <c r="D41" s="8" t="s">
        <v>27</v>
      </c>
      <c r="E41" s="8">
        <v>65</v>
      </c>
      <c r="F41" s="8">
        <v>35</v>
      </c>
      <c r="G41" s="8">
        <v>210</v>
      </c>
      <c r="H41" s="18">
        <f t="shared" si="0"/>
        <v>0</v>
      </c>
      <c r="I41" s="18" t="str">
        <f t="shared" si="1"/>
        <v>كافٍ ومستقر</v>
      </c>
    </row>
    <row r="42" spans="1:9" ht="20.100000000000001" customHeight="1" x14ac:dyDescent="0.25">
      <c r="A42" s="8" t="s">
        <v>72</v>
      </c>
      <c r="B42" s="8" t="s">
        <v>30</v>
      </c>
      <c r="C42" s="8" t="s">
        <v>31</v>
      </c>
      <c r="D42" s="8" t="s">
        <v>27</v>
      </c>
      <c r="E42" s="8">
        <v>28</v>
      </c>
      <c r="F42" s="8">
        <v>15</v>
      </c>
      <c r="G42" s="8">
        <v>50</v>
      </c>
      <c r="H42" s="18">
        <f t="shared" si="0"/>
        <v>0</v>
      </c>
      <c r="I42" s="18" t="str">
        <f t="shared" si="1"/>
        <v>كافٍ ومستقر</v>
      </c>
    </row>
    <row r="43" spans="1:9" ht="20.100000000000001" customHeight="1" x14ac:dyDescent="0.25">
      <c r="A43" s="8" t="s">
        <v>72</v>
      </c>
      <c r="B43" s="8" t="s">
        <v>32</v>
      </c>
      <c r="C43" s="8" t="s">
        <v>33</v>
      </c>
      <c r="D43" s="8" t="s">
        <v>27</v>
      </c>
      <c r="E43" s="8">
        <v>15</v>
      </c>
      <c r="F43" s="8">
        <v>30</v>
      </c>
      <c r="G43" s="8">
        <v>0</v>
      </c>
      <c r="H43" s="18">
        <f t="shared" si="0"/>
        <v>45</v>
      </c>
      <c r="I43" s="18" t="str">
        <f t="shared" si="1"/>
        <v>منخفض (استيفاء)</v>
      </c>
    </row>
    <row r="44" spans="1:9" ht="20.100000000000001" customHeight="1" x14ac:dyDescent="0.25">
      <c r="A44" s="8" t="s">
        <v>72</v>
      </c>
      <c r="B44" s="8" t="s">
        <v>34</v>
      </c>
      <c r="C44" s="8" t="s">
        <v>35</v>
      </c>
      <c r="D44" s="8" t="s">
        <v>27</v>
      </c>
      <c r="E44" s="8">
        <v>45</v>
      </c>
      <c r="F44" s="8">
        <v>25</v>
      </c>
      <c r="G44" s="8">
        <v>140</v>
      </c>
      <c r="H44" s="18">
        <f t="shared" si="0"/>
        <v>0</v>
      </c>
      <c r="I44" s="18" t="str">
        <f t="shared" si="1"/>
        <v>كافٍ ومستقر</v>
      </c>
    </row>
    <row r="45" spans="1:9" ht="20.100000000000001" customHeight="1" x14ac:dyDescent="0.25">
      <c r="A45" s="8" t="s">
        <v>72</v>
      </c>
      <c r="B45" s="8" t="s">
        <v>36</v>
      </c>
      <c r="C45" s="8" t="s">
        <v>37</v>
      </c>
      <c r="D45" s="8" t="s">
        <v>27</v>
      </c>
      <c r="E45" s="8">
        <v>35</v>
      </c>
      <c r="F45" s="8">
        <v>20</v>
      </c>
      <c r="G45" s="8">
        <v>90</v>
      </c>
      <c r="H45" s="18">
        <f t="shared" si="0"/>
        <v>0</v>
      </c>
      <c r="I45" s="18" t="str">
        <f t="shared" si="1"/>
        <v>كافٍ ومستقر</v>
      </c>
    </row>
    <row r="46" spans="1:9" ht="20.100000000000001" customHeight="1" x14ac:dyDescent="0.25">
      <c r="A46" s="8" t="s">
        <v>72</v>
      </c>
      <c r="B46" s="8" t="s">
        <v>38</v>
      </c>
      <c r="C46" s="8" t="s">
        <v>39</v>
      </c>
      <c r="D46" s="8" t="s">
        <v>27</v>
      </c>
      <c r="E46" s="8">
        <v>20</v>
      </c>
      <c r="F46" s="8">
        <v>12</v>
      </c>
      <c r="G46" s="8">
        <v>40</v>
      </c>
      <c r="H46" s="18">
        <f t="shared" si="0"/>
        <v>0</v>
      </c>
      <c r="I46" s="18" t="str">
        <f t="shared" si="1"/>
        <v>كافٍ ومستقر</v>
      </c>
    </row>
    <row r="47" spans="1:9" ht="20.100000000000001" customHeight="1" x14ac:dyDescent="0.25">
      <c r="A47" s="8" t="s">
        <v>72</v>
      </c>
      <c r="B47" s="8" t="s">
        <v>40</v>
      </c>
      <c r="C47" s="8" t="s">
        <v>41</v>
      </c>
      <c r="D47" s="8" t="s">
        <v>42</v>
      </c>
      <c r="E47" s="8">
        <v>35</v>
      </c>
      <c r="F47" s="8">
        <v>20</v>
      </c>
      <c r="G47" s="8">
        <v>110</v>
      </c>
      <c r="H47" s="18">
        <f t="shared" si="0"/>
        <v>0</v>
      </c>
      <c r="I47" s="18" t="str">
        <f t="shared" si="1"/>
        <v>كافٍ ومستقر</v>
      </c>
    </row>
    <row r="48" spans="1:9" ht="20.100000000000001" customHeight="1" x14ac:dyDescent="0.25">
      <c r="A48" s="8" t="s">
        <v>72</v>
      </c>
      <c r="B48" s="8" t="s">
        <v>43</v>
      </c>
      <c r="C48" s="8" t="s">
        <v>44</v>
      </c>
      <c r="D48" s="8" t="s">
        <v>42</v>
      </c>
      <c r="E48" s="8">
        <v>45</v>
      </c>
      <c r="F48" s="8">
        <v>25</v>
      </c>
      <c r="G48" s="8">
        <v>130</v>
      </c>
      <c r="H48" s="18">
        <f t="shared" si="0"/>
        <v>0</v>
      </c>
      <c r="I48" s="18" t="str">
        <f t="shared" si="1"/>
        <v>كافٍ ومستقر</v>
      </c>
    </row>
    <row r="49" spans="1:9" ht="20.100000000000001" customHeight="1" x14ac:dyDescent="0.25">
      <c r="A49" s="8" t="s">
        <v>72</v>
      </c>
      <c r="B49" s="8" t="s">
        <v>45</v>
      </c>
      <c r="C49" s="8" t="s">
        <v>46</v>
      </c>
      <c r="D49" s="8" t="s">
        <v>42</v>
      </c>
      <c r="E49" s="8">
        <v>36</v>
      </c>
      <c r="F49" s="8">
        <v>20</v>
      </c>
      <c r="G49" s="8">
        <v>80</v>
      </c>
      <c r="H49" s="18">
        <f t="shared" si="0"/>
        <v>0</v>
      </c>
      <c r="I49" s="18" t="str">
        <f t="shared" si="1"/>
        <v>كافٍ ومستقر</v>
      </c>
    </row>
    <row r="50" spans="1:9" ht="20.100000000000001" customHeight="1" x14ac:dyDescent="0.25">
      <c r="A50" s="8" t="s">
        <v>72</v>
      </c>
      <c r="B50" s="8" t="s">
        <v>47</v>
      </c>
      <c r="C50" s="8" t="s">
        <v>48</v>
      </c>
      <c r="D50" s="8" t="s">
        <v>42</v>
      </c>
      <c r="E50" s="8">
        <v>8</v>
      </c>
      <c r="F50" s="8">
        <v>15</v>
      </c>
      <c r="G50" s="8">
        <v>20</v>
      </c>
      <c r="H50" s="18">
        <f t="shared" si="0"/>
        <v>22</v>
      </c>
      <c r="I50" s="18" t="str">
        <f t="shared" si="1"/>
        <v>منخفض (استيفاء)</v>
      </c>
    </row>
    <row r="51" spans="1:9" ht="20.100000000000001" customHeight="1" x14ac:dyDescent="0.25">
      <c r="A51" s="8" t="s">
        <v>72</v>
      </c>
      <c r="B51" s="8" t="s">
        <v>49</v>
      </c>
      <c r="C51" s="8" t="s">
        <v>50</v>
      </c>
      <c r="D51" s="8" t="s">
        <v>42</v>
      </c>
      <c r="E51" s="8">
        <v>12</v>
      </c>
      <c r="F51" s="8">
        <v>10</v>
      </c>
      <c r="G51" s="8">
        <v>15</v>
      </c>
      <c r="H51" s="18">
        <f t="shared" si="0"/>
        <v>0</v>
      </c>
      <c r="I51" s="18" t="str">
        <f t="shared" si="1"/>
        <v>كافٍ ومستقر</v>
      </c>
    </row>
    <row r="52" spans="1:9" ht="20.100000000000001" customHeight="1" x14ac:dyDescent="0.25">
      <c r="A52" s="8" t="s">
        <v>72</v>
      </c>
      <c r="B52" s="8" t="s">
        <v>51</v>
      </c>
      <c r="C52" s="8" t="s">
        <v>52</v>
      </c>
      <c r="D52" s="8" t="s">
        <v>42</v>
      </c>
      <c r="E52" s="8">
        <v>45</v>
      </c>
      <c r="F52" s="8">
        <v>15</v>
      </c>
      <c r="G52" s="8">
        <v>55</v>
      </c>
      <c r="H52" s="18">
        <f t="shared" si="0"/>
        <v>0</v>
      </c>
      <c r="I52" s="18" t="str">
        <f t="shared" si="1"/>
        <v>مخزون زائد</v>
      </c>
    </row>
    <row r="53" spans="1:9" ht="20.100000000000001" customHeight="1" x14ac:dyDescent="0.25">
      <c r="A53" s="8" t="s">
        <v>72</v>
      </c>
      <c r="B53" s="8" t="s">
        <v>53</v>
      </c>
      <c r="C53" s="8" t="s">
        <v>54</v>
      </c>
      <c r="D53" s="8" t="s">
        <v>42</v>
      </c>
      <c r="E53" s="8">
        <v>30</v>
      </c>
      <c r="F53" s="8">
        <v>20</v>
      </c>
      <c r="G53" s="8">
        <v>60</v>
      </c>
      <c r="H53" s="18">
        <f t="shared" si="0"/>
        <v>0</v>
      </c>
      <c r="I53" s="18" t="str">
        <f t="shared" si="1"/>
        <v>كافٍ ومستقر</v>
      </c>
    </row>
    <row r="54" spans="1:9" ht="20.100000000000001" customHeight="1" x14ac:dyDescent="0.25">
      <c r="A54" s="8" t="s">
        <v>72</v>
      </c>
      <c r="B54" s="8" t="s">
        <v>55</v>
      </c>
      <c r="C54" s="8" t="s">
        <v>56</v>
      </c>
      <c r="D54" s="8" t="s">
        <v>57</v>
      </c>
      <c r="E54" s="8">
        <v>18</v>
      </c>
      <c r="F54" s="8">
        <v>6</v>
      </c>
      <c r="G54" s="8">
        <v>12</v>
      </c>
      <c r="H54" s="18">
        <f t="shared" si="0"/>
        <v>0</v>
      </c>
      <c r="I54" s="18" t="str">
        <f t="shared" si="1"/>
        <v>مخزون زائد</v>
      </c>
    </row>
    <row r="55" spans="1:9" ht="20.100000000000001" customHeight="1" x14ac:dyDescent="0.25">
      <c r="A55" s="8" t="s">
        <v>72</v>
      </c>
      <c r="B55" s="8" t="s">
        <v>58</v>
      </c>
      <c r="C55" s="8" t="s">
        <v>59</v>
      </c>
      <c r="D55" s="8" t="s">
        <v>57</v>
      </c>
      <c r="E55" s="8">
        <v>9</v>
      </c>
      <c r="F55" s="8">
        <v>5</v>
      </c>
      <c r="G55" s="8">
        <v>8</v>
      </c>
      <c r="H55" s="18">
        <f t="shared" si="0"/>
        <v>0</v>
      </c>
      <c r="I55" s="18" t="str">
        <f t="shared" si="1"/>
        <v>كافٍ ومستقر</v>
      </c>
    </row>
    <row r="56" spans="1:9" ht="20.100000000000001" customHeight="1" x14ac:dyDescent="0.25">
      <c r="A56" s="8" t="s">
        <v>72</v>
      </c>
      <c r="B56" s="8" t="s">
        <v>60</v>
      </c>
      <c r="C56" s="8" t="s">
        <v>61</v>
      </c>
      <c r="D56" s="8" t="s">
        <v>57</v>
      </c>
      <c r="E56" s="8">
        <v>0</v>
      </c>
      <c r="F56" s="8">
        <v>5</v>
      </c>
      <c r="G56" s="8">
        <v>0</v>
      </c>
      <c r="H56" s="18">
        <f t="shared" si="0"/>
        <v>10</v>
      </c>
      <c r="I56" s="18" t="str">
        <f t="shared" si="1"/>
        <v>منتهي</v>
      </c>
    </row>
    <row r="57" spans="1:9" ht="20.100000000000001" customHeight="1" x14ac:dyDescent="0.25">
      <c r="A57" s="8" t="s">
        <v>72</v>
      </c>
      <c r="B57" s="8" t="s">
        <v>62</v>
      </c>
      <c r="C57" s="8" t="s">
        <v>63</v>
      </c>
      <c r="D57" s="8" t="s">
        <v>57</v>
      </c>
      <c r="E57" s="8">
        <v>12</v>
      </c>
      <c r="F57" s="8">
        <v>4</v>
      </c>
      <c r="G57" s="8">
        <v>6</v>
      </c>
      <c r="H57" s="18">
        <f t="shared" si="0"/>
        <v>0</v>
      </c>
      <c r="I57" s="18" t="str">
        <f t="shared" si="1"/>
        <v>مخزون زائد</v>
      </c>
    </row>
    <row r="58" spans="1:9" ht="20.100000000000001" customHeight="1" x14ac:dyDescent="0.25">
      <c r="A58" s="8" t="s">
        <v>72</v>
      </c>
      <c r="B58" s="8" t="s">
        <v>64</v>
      </c>
      <c r="C58" s="8" t="s">
        <v>65</v>
      </c>
      <c r="D58" s="8" t="s">
        <v>57</v>
      </c>
      <c r="E58" s="8">
        <v>10</v>
      </c>
      <c r="F58" s="8">
        <v>3</v>
      </c>
      <c r="G58" s="8">
        <v>4</v>
      </c>
      <c r="H58" s="18">
        <f t="shared" si="0"/>
        <v>0</v>
      </c>
      <c r="I58" s="18" t="str">
        <f t="shared" si="1"/>
        <v>مخزون زائد</v>
      </c>
    </row>
    <row r="59" spans="1:9" ht="20.100000000000001" customHeight="1" x14ac:dyDescent="0.25">
      <c r="A59" s="8" t="s">
        <v>72</v>
      </c>
      <c r="B59" s="8" t="s">
        <v>66</v>
      </c>
      <c r="C59" s="8" t="s">
        <v>67</v>
      </c>
      <c r="D59" s="8" t="s">
        <v>57</v>
      </c>
      <c r="E59" s="8">
        <v>22</v>
      </c>
      <c r="F59" s="8">
        <v>12</v>
      </c>
      <c r="G59" s="8">
        <v>45</v>
      </c>
      <c r="H59" s="18">
        <f t="shared" si="0"/>
        <v>0</v>
      </c>
      <c r="I59" s="18" t="str">
        <f t="shared" si="1"/>
        <v>كافٍ ومستقر</v>
      </c>
    </row>
    <row r="60" spans="1:9" ht="20.100000000000001" customHeight="1" x14ac:dyDescent="0.25">
      <c r="A60" s="8" t="s">
        <v>72</v>
      </c>
      <c r="B60" s="8" t="s">
        <v>68</v>
      </c>
      <c r="C60" s="8" t="s">
        <v>69</v>
      </c>
      <c r="D60" s="8" t="s">
        <v>57</v>
      </c>
      <c r="E60" s="8">
        <v>10</v>
      </c>
      <c r="F60" s="8">
        <v>5</v>
      </c>
      <c r="G60" s="8">
        <v>10</v>
      </c>
      <c r="H60" s="18">
        <f t="shared" si="0"/>
        <v>0</v>
      </c>
      <c r="I60" s="18" t="str">
        <f t="shared" si="1"/>
        <v>كافٍ ومستقر</v>
      </c>
    </row>
    <row r="61" spans="1:9" ht="20.100000000000001" customHeight="1" x14ac:dyDescent="0.25">
      <c r="A61" s="8" t="s">
        <v>72</v>
      </c>
      <c r="B61" s="8" t="s">
        <v>70</v>
      </c>
      <c r="C61" s="8" t="s">
        <v>71</v>
      </c>
      <c r="D61" s="8" t="s">
        <v>57</v>
      </c>
      <c r="E61" s="8">
        <v>6</v>
      </c>
      <c r="F61" s="8">
        <v>3</v>
      </c>
      <c r="G61" s="8">
        <v>5</v>
      </c>
      <c r="H61" s="18">
        <f t="shared" si="0"/>
        <v>0</v>
      </c>
      <c r="I61" s="18" t="str">
        <f t="shared" si="1"/>
        <v>كافٍ ومستقر</v>
      </c>
    </row>
    <row r="62" spans="1:9" ht="20.100000000000001" customHeight="1" x14ac:dyDescent="0.25">
      <c r="A62" s="20" t="s">
        <v>73</v>
      </c>
      <c r="B62" s="20" t="s">
        <v>8</v>
      </c>
      <c r="C62" s="20" t="s">
        <v>9</v>
      </c>
      <c r="D62" s="20" t="s">
        <v>10</v>
      </c>
      <c r="E62" s="20">
        <v>7</v>
      </c>
      <c r="F62" s="20">
        <v>25</v>
      </c>
      <c r="G62" s="20">
        <v>180</v>
      </c>
      <c r="H62" s="18">
        <f t="shared" si="0"/>
        <v>43</v>
      </c>
      <c r="I62" s="18" t="str">
        <f t="shared" si="1"/>
        <v>منخفض (استيفاء)</v>
      </c>
    </row>
    <row r="63" spans="1:9" ht="20.100000000000001" customHeight="1" x14ac:dyDescent="0.25">
      <c r="A63" s="8" t="s">
        <v>73</v>
      </c>
      <c r="B63" s="8" t="s">
        <v>11</v>
      </c>
      <c r="C63" s="8" t="s">
        <v>12</v>
      </c>
      <c r="D63" s="8" t="s">
        <v>10</v>
      </c>
      <c r="E63" s="8">
        <v>0</v>
      </c>
      <c r="F63" s="8">
        <v>30</v>
      </c>
      <c r="G63" s="8">
        <v>240</v>
      </c>
      <c r="H63" s="18">
        <f t="shared" si="0"/>
        <v>60</v>
      </c>
      <c r="I63" s="18" t="str">
        <f t="shared" si="1"/>
        <v>منتهي</v>
      </c>
    </row>
    <row r="64" spans="1:9" ht="20.100000000000001" customHeight="1" x14ac:dyDescent="0.25">
      <c r="A64" s="8" t="s">
        <v>73</v>
      </c>
      <c r="B64" s="8" t="s">
        <v>13</v>
      </c>
      <c r="C64" s="8" t="s">
        <v>14</v>
      </c>
      <c r="D64" s="8" t="s">
        <v>10</v>
      </c>
      <c r="E64" s="8">
        <v>6</v>
      </c>
      <c r="F64" s="8">
        <v>20</v>
      </c>
      <c r="G64" s="8">
        <v>0</v>
      </c>
      <c r="H64" s="18">
        <f t="shared" si="0"/>
        <v>34</v>
      </c>
      <c r="I64" s="18" t="str">
        <f t="shared" si="1"/>
        <v>منخفض (استيفاء)</v>
      </c>
    </row>
    <row r="65" spans="1:9" ht="20.100000000000001" customHeight="1" x14ac:dyDescent="0.25">
      <c r="A65" s="8" t="s">
        <v>73</v>
      </c>
      <c r="B65" s="8" t="s">
        <v>15</v>
      </c>
      <c r="C65" s="8" t="s">
        <v>16</v>
      </c>
      <c r="D65" s="8" t="s">
        <v>10</v>
      </c>
      <c r="E65" s="8">
        <v>8</v>
      </c>
      <c r="F65" s="8">
        <v>20</v>
      </c>
      <c r="G65" s="8">
        <v>150</v>
      </c>
      <c r="H65" s="18">
        <f t="shared" si="0"/>
        <v>32</v>
      </c>
      <c r="I65" s="18" t="str">
        <f t="shared" si="1"/>
        <v>منخفض (استيفاء)</v>
      </c>
    </row>
    <row r="66" spans="1:9" ht="20.100000000000001" customHeight="1" x14ac:dyDescent="0.25">
      <c r="A66" s="8" t="s">
        <v>73</v>
      </c>
      <c r="B66" s="8" t="s">
        <v>17</v>
      </c>
      <c r="C66" s="8" t="s">
        <v>18</v>
      </c>
      <c r="D66" s="8" t="s">
        <v>10</v>
      </c>
      <c r="E66" s="8">
        <v>24</v>
      </c>
      <c r="F66" s="8">
        <v>40</v>
      </c>
      <c r="G66" s="8">
        <v>320</v>
      </c>
      <c r="H66" s="18">
        <f t="shared" si="0"/>
        <v>56</v>
      </c>
      <c r="I66" s="18" t="str">
        <f t="shared" si="1"/>
        <v>منخفض (استيفاء)</v>
      </c>
    </row>
    <row r="67" spans="1:9" ht="20.100000000000001" customHeight="1" x14ac:dyDescent="0.25">
      <c r="A67" s="8" t="s">
        <v>73</v>
      </c>
      <c r="B67" s="8" t="s">
        <v>19</v>
      </c>
      <c r="C67" s="8" t="s">
        <v>20</v>
      </c>
      <c r="D67" s="8" t="s">
        <v>10</v>
      </c>
      <c r="E67" s="8">
        <v>35</v>
      </c>
      <c r="F67" s="8">
        <v>25</v>
      </c>
      <c r="G67" s="8">
        <v>75</v>
      </c>
      <c r="H67" s="18">
        <f t="shared" ref="H67:H130" si="2">IF(E67&lt;=F67, (F67*2)-E67, 0)</f>
        <v>0</v>
      </c>
      <c r="I67" s="18" t="str">
        <f t="shared" ref="I67:I130" si="3">IF(E67=0, "منتهي", IF(E67&lt;=F67, "منخفض (استيفاء)", IF(E67&gt;(F67*2.5), "مخزون زائد", "كافٍ ومستقر")))</f>
        <v>كافٍ ومستقر</v>
      </c>
    </row>
    <row r="68" spans="1:9" ht="20.100000000000001" customHeight="1" x14ac:dyDescent="0.25">
      <c r="A68" s="8" t="s">
        <v>73</v>
      </c>
      <c r="B68" s="8" t="s">
        <v>21</v>
      </c>
      <c r="C68" s="8" t="s">
        <v>22</v>
      </c>
      <c r="D68" s="8" t="s">
        <v>10</v>
      </c>
      <c r="E68" s="8">
        <v>18</v>
      </c>
      <c r="F68" s="8">
        <v>15</v>
      </c>
      <c r="G68" s="8">
        <v>45</v>
      </c>
      <c r="H68" s="18">
        <f t="shared" si="2"/>
        <v>0</v>
      </c>
      <c r="I68" s="18" t="str">
        <f t="shared" si="3"/>
        <v>كافٍ ومستقر</v>
      </c>
    </row>
    <row r="69" spans="1:9" ht="20.100000000000001" customHeight="1" x14ac:dyDescent="0.25">
      <c r="A69" s="8" t="s">
        <v>73</v>
      </c>
      <c r="B69" s="8" t="s">
        <v>23</v>
      </c>
      <c r="C69" s="8" t="s">
        <v>24</v>
      </c>
      <c r="D69" s="8" t="s">
        <v>10</v>
      </c>
      <c r="E69" s="8">
        <v>15</v>
      </c>
      <c r="F69" s="8">
        <v>10</v>
      </c>
      <c r="G69" s="8">
        <v>30</v>
      </c>
      <c r="H69" s="18">
        <f t="shared" si="2"/>
        <v>0</v>
      </c>
      <c r="I69" s="18" t="str">
        <f t="shared" si="3"/>
        <v>كافٍ ومستقر</v>
      </c>
    </row>
    <row r="70" spans="1:9" ht="20.100000000000001" customHeight="1" x14ac:dyDescent="0.25">
      <c r="A70" s="8" t="s">
        <v>73</v>
      </c>
      <c r="B70" s="8" t="s">
        <v>25</v>
      </c>
      <c r="C70" s="8" t="s">
        <v>26</v>
      </c>
      <c r="D70" s="8" t="s">
        <v>27</v>
      </c>
      <c r="E70" s="8">
        <v>6</v>
      </c>
      <c r="F70" s="8">
        <v>20</v>
      </c>
      <c r="G70" s="8">
        <v>120</v>
      </c>
      <c r="H70" s="18">
        <f t="shared" si="2"/>
        <v>34</v>
      </c>
      <c r="I70" s="18" t="str">
        <f t="shared" si="3"/>
        <v>منخفض (استيفاء)</v>
      </c>
    </row>
    <row r="71" spans="1:9" ht="20.100000000000001" customHeight="1" x14ac:dyDescent="0.25">
      <c r="A71" s="8" t="s">
        <v>73</v>
      </c>
      <c r="B71" s="8" t="s">
        <v>28</v>
      </c>
      <c r="C71" s="8" t="s">
        <v>29</v>
      </c>
      <c r="D71" s="8" t="s">
        <v>27</v>
      </c>
      <c r="E71" s="8">
        <v>21</v>
      </c>
      <c r="F71" s="8">
        <v>35</v>
      </c>
      <c r="G71" s="8">
        <v>210</v>
      </c>
      <c r="H71" s="18">
        <f t="shared" si="2"/>
        <v>49</v>
      </c>
      <c r="I71" s="18" t="str">
        <f t="shared" si="3"/>
        <v>منخفض (استيفاء)</v>
      </c>
    </row>
    <row r="72" spans="1:9" ht="20.100000000000001" customHeight="1" x14ac:dyDescent="0.25">
      <c r="A72" s="8" t="s">
        <v>73</v>
      </c>
      <c r="B72" s="8" t="s">
        <v>30</v>
      </c>
      <c r="C72" s="8" t="s">
        <v>31</v>
      </c>
      <c r="D72" s="8" t="s">
        <v>27</v>
      </c>
      <c r="E72" s="8">
        <v>18</v>
      </c>
      <c r="F72" s="8">
        <v>15</v>
      </c>
      <c r="G72" s="8">
        <v>50</v>
      </c>
      <c r="H72" s="18">
        <f t="shared" si="2"/>
        <v>0</v>
      </c>
      <c r="I72" s="18" t="str">
        <f t="shared" si="3"/>
        <v>كافٍ ومستقر</v>
      </c>
    </row>
    <row r="73" spans="1:9" ht="20.100000000000001" customHeight="1" x14ac:dyDescent="0.25">
      <c r="A73" s="8" t="s">
        <v>73</v>
      </c>
      <c r="B73" s="8" t="s">
        <v>32</v>
      </c>
      <c r="C73" s="8" t="s">
        <v>33</v>
      </c>
      <c r="D73" s="8" t="s">
        <v>27</v>
      </c>
      <c r="E73" s="8">
        <v>0</v>
      </c>
      <c r="F73" s="8">
        <v>30</v>
      </c>
      <c r="G73" s="8">
        <v>0</v>
      </c>
      <c r="H73" s="18">
        <f t="shared" si="2"/>
        <v>60</v>
      </c>
      <c r="I73" s="18" t="str">
        <f t="shared" si="3"/>
        <v>منتهي</v>
      </c>
    </row>
    <row r="74" spans="1:9" ht="20.100000000000001" customHeight="1" x14ac:dyDescent="0.25">
      <c r="A74" s="8" t="s">
        <v>73</v>
      </c>
      <c r="B74" s="8" t="s">
        <v>34</v>
      </c>
      <c r="C74" s="8" t="s">
        <v>35</v>
      </c>
      <c r="D74" s="8" t="s">
        <v>27</v>
      </c>
      <c r="E74" s="8">
        <v>14</v>
      </c>
      <c r="F74" s="8">
        <v>25</v>
      </c>
      <c r="G74" s="8">
        <v>140</v>
      </c>
      <c r="H74" s="18">
        <f t="shared" si="2"/>
        <v>36</v>
      </c>
      <c r="I74" s="18" t="str">
        <f t="shared" si="3"/>
        <v>منخفض (استيفاء)</v>
      </c>
    </row>
    <row r="75" spans="1:9" ht="20.100000000000001" customHeight="1" x14ac:dyDescent="0.25">
      <c r="A75" s="8" t="s">
        <v>73</v>
      </c>
      <c r="B75" s="8" t="s">
        <v>36</v>
      </c>
      <c r="C75" s="8" t="s">
        <v>37</v>
      </c>
      <c r="D75" s="8" t="s">
        <v>27</v>
      </c>
      <c r="E75" s="8">
        <v>25</v>
      </c>
      <c r="F75" s="8">
        <v>20</v>
      </c>
      <c r="G75" s="8">
        <v>90</v>
      </c>
      <c r="H75" s="18">
        <f t="shared" si="2"/>
        <v>0</v>
      </c>
      <c r="I75" s="18" t="str">
        <f t="shared" si="3"/>
        <v>كافٍ ومستقر</v>
      </c>
    </row>
    <row r="76" spans="1:9" ht="20.100000000000001" customHeight="1" x14ac:dyDescent="0.25">
      <c r="A76" s="8" t="s">
        <v>73</v>
      </c>
      <c r="B76" s="8" t="s">
        <v>38</v>
      </c>
      <c r="C76" s="8" t="s">
        <v>39</v>
      </c>
      <c r="D76" s="8" t="s">
        <v>27</v>
      </c>
      <c r="E76" s="8">
        <v>15</v>
      </c>
      <c r="F76" s="8">
        <v>12</v>
      </c>
      <c r="G76" s="8">
        <v>40</v>
      </c>
      <c r="H76" s="18">
        <f t="shared" si="2"/>
        <v>0</v>
      </c>
      <c r="I76" s="18" t="str">
        <f t="shared" si="3"/>
        <v>كافٍ ومستقر</v>
      </c>
    </row>
    <row r="77" spans="1:9" ht="20.100000000000001" customHeight="1" x14ac:dyDescent="0.25">
      <c r="A77" s="8" t="s">
        <v>73</v>
      </c>
      <c r="B77" s="8" t="s">
        <v>40</v>
      </c>
      <c r="C77" s="8" t="s">
        <v>41</v>
      </c>
      <c r="D77" s="8" t="s">
        <v>42</v>
      </c>
      <c r="E77" s="8">
        <v>6</v>
      </c>
      <c r="F77" s="8">
        <v>20</v>
      </c>
      <c r="G77" s="8">
        <v>110</v>
      </c>
      <c r="H77" s="18">
        <f t="shared" si="2"/>
        <v>34</v>
      </c>
      <c r="I77" s="18" t="str">
        <f t="shared" si="3"/>
        <v>منخفض (استيفاء)</v>
      </c>
    </row>
    <row r="78" spans="1:9" ht="20.100000000000001" customHeight="1" x14ac:dyDescent="0.25">
      <c r="A78" s="8" t="s">
        <v>73</v>
      </c>
      <c r="B78" s="8" t="s">
        <v>43</v>
      </c>
      <c r="C78" s="8" t="s">
        <v>44</v>
      </c>
      <c r="D78" s="8" t="s">
        <v>42</v>
      </c>
      <c r="E78" s="8">
        <v>8</v>
      </c>
      <c r="F78" s="8">
        <v>25</v>
      </c>
      <c r="G78" s="8">
        <v>130</v>
      </c>
      <c r="H78" s="18">
        <f t="shared" si="2"/>
        <v>42</v>
      </c>
      <c r="I78" s="18" t="str">
        <f t="shared" si="3"/>
        <v>منخفض (استيفاء)</v>
      </c>
    </row>
    <row r="79" spans="1:9" ht="20.100000000000001" customHeight="1" x14ac:dyDescent="0.25">
      <c r="A79" s="8" t="s">
        <v>73</v>
      </c>
      <c r="B79" s="8" t="s">
        <v>45</v>
      </c>
      <c r="C79" s="8" t="s">
        <v>46</v>
      </c>
      <c r="D79" s="8" t="s">
        <v>42</v>
      </c>
      <c r="E79" s="8">
        <v>25</v>
      </c>
      <c r="F79" s="8">
        <v>20</v>
      </c>
      <c r="G79" s="8">
        <v>80</v>
      </c>
      <c r="H79" s="18">
        <f t="shared" si="2"/>
        <v>0</v>
      </c>
      <c r="I79" s="18" t="str">
        <f t="shared" si="3"/>
        <v>كافٍ ومستقر</v>
      </c>
    </row>
    <row r="80" spans="1:9" ht="20.100000000000001" customHeight="1" x14ac:dyDescent="0.25">
      <c r="A80" s="8" t="s">
        <v>73</v>
      </c>
      <c r="B80" s="8" t="s">
        <v>47</v>
      </c>
      <c r="C80" s="8" t="s">
        <v>48</v>
      </c>
      <c r="D80" s="8" t="s">
        <v>42</v>
      </c>
      <c r="E80" s="8">
        <v>15</v>
      </c>
      <c r="F80" s="8">
        <v>15</v>
      </c>
      <c r="G80" s="8">
        <v>20</v>
      </c>
      <c r="H80" s="18">
        <f t="shared" si="2"/>
        <v>15</v>
      </c>
      <c r="I80" s="18" t="str">
        <f t="shared" si="3"/>
        <v>منخفض (استيفاء)</v>
      </c>
    </row>
    <row r="81" spans="1:9" ht="20.100000000000001" customHeight="1" x14ac:dyDescent="0.25">
      <c r="A81" s="8" t="s">
        <v>73</v>
      </c>
      <c r="B81" s="8" t="s">
        <v>49</v>
      </c>
      <c r="C81" s="8" t="s">
        <v>50</v>
      </c>
      <c r="D81" s="8" t="s">
        <v>42</v>
      </c>
      <c r="E81" s="8">
        <v>6</v>
      </c>
      <c r="F81" s="8">
        <v>10</v>
      </c>
      <c r="G81" s="8">
        <v>15</v>
      </c>
      <c r="H81" s="18">
        <f t="shared" si="2"/>
        <v>14</v>
      </c>
      <c r="I81" s="18" t="str">
        <f t="shared" si="3"/>
        <v>منخفض (استيفاء)</v>
      </c>
    </row>
    <row r="82" spans="1:9" ht="20.100000000000001" customHeight="1" x14ac:dyDescent="0.25">
      <c r="A82" s="8" t="s">
        <v>73</v>
      </c>
      <c r="B82" s="8" t="s">
        <v>51</v>
      </c>
      <c r="C82" s="8" t="s">
        <v>52</v>
      </c>
      <c r="D82" s="8" t="s">
        <v>42</v>
      </c>
      <c r="E82" s="8">
        <v>20</v>
      </c>
      <c r="F82" s="8">
        <v>15</v>
      </c>
      <c r="G82" s="8">
        <v>55</v>
      </c>
      <c r="H82" s="18">
        <f t="shared" si="2"/>
        <v>0</v>
      </c>
      <c r="I82" s="18" t="str">
        <f t="shared" si="3"/>
        <v>كافٍ ومستقر</v>
      </c>
    </row>
    <row r="83" spans="1:9" ht="20.100000000000001" customHeight="1" x14ac:dyDescent="0.25">
      <c r="A83" s="8" t="s">
        <v>73</v>
      </c>
      <c r="B83" s="8" t="s">
        <v>53</v>
      </c>
      <c r="C83" s="8" t="s">
        <v>54</v>
      </c>
      <c r="D83" s="8" t="s">
        <v>42</v>
      </c>
      <c r="E83" s="8">
        <v>26</v>
      </c>
      <c r="F83" s="8">
        <v>20</v>
      </c>
      <c r="G83" s="8">
        <v>60</v>
      </c>
      <c r="H83" s="18">
        <f t="shared" si="2"/>
        <v>0</v>
      </c>
      <c r="I83" s="18" t="str">
        <f t="shared" si="3"/>
        <v>كافٍ ومستقر</v>
      </c>
    </row>
    <row r="84" spans="1:9" ht="20.100000000000001" customHeight="1" x14ac:dyDescent="0.25">
      <c r="A84" s="8" t="s">
        <v>73</v>
      </c>
      <c r="B84" s="8" t="s">
        <v>55</v>
      </c>
      <c r="C84" s="8" t="s">
        <v>56</v>
      </c>
      <c r="D84" s="8" t="s">
        <v>57</v>
      </c>
      <c r="E84" s="8">
        <v>5</v>
      </c>
      <c r="F84" s="8">
        <v>6</v>
      </c>
      <c r="G84" s="8">
        <v>12</v>
      </c>
      <c r="H84" s="18">
        <f t="shared" si="2"/>
        <v>7</v>
      </c>
      <c r="I84" s="18" t="str">
        <f t="shared" si="3"/>
        <v>منخفض (استيفاء)</v>
      </c>
    </row>
    <row r="85" spans="1:9" ht="20.100000000000001" customHeight="1" x14ac:dyDescent="0.25">
      <c r="A85" s="8" t="s">
        <v>73</v>
      </c>
      <c r="B85" s="8" t="s">
        <v>58</v>
      </c>
      <c r="C85" s="8" t="s">
        <v>59</v>
      </c>
      <c r="D85" s="8" t="s">
        <v>57</v>
      </c>
      <c r="E85" s="8">
        <v>7</v>
      </c>
      <c r="F85" s="8">
        <v>5</v>
      </c>
      <c r="G85" s="8">
        <v>8</v>
      </c>
      <c r="H85" s="18">
        <f t="shared" si="2"/>
        <v>0</v>
      </c>
      <c r="I85" s="18" t="str">
        <f t="shared" si="3"/>
        <v>كافٍ ومستقر</v>
      </c>
    </row>
    <row r="86" spans="1:9" ht="20.100000000000001" customHeight="1" x14ac:dyDescent="0.25">
      <c r="A86" s="8" t="s">
        <v>73</v>
      </c>
      <c r="B86" s="8" t="s">
        <v>60</v>
      </c>
      <c r="C86" s="8" t="s">
        <v>61</v>
      </c>
      <c r="D86" s="8" t="s">
        <v>57</v>
      </c>
      <c r="E86" s="8">
        <v>4</v>
      </c>
      <c r="F86" s="8">
        <v>5</v>
      </c>
      <c r="G86" s="8">
        <v>0</v>
      </c>
      <c r="H86" s="18">
        <f t="shared" si="2"/>
        <v>6</v>
      </c>
      <c r="I86" s="18" t="str">
        <f t="shared" si="3"/>
        <v>منخفض (استيفاء)</v>
      </c>
    </row>
    <row r="87" spans="1:9" ht="20.100000000000001" customHeight="1" x14ac:dyDescent="0.25">
      <c r="A87" s="8" t="s">
        <v>73</v>
      </c>
      <c r="B87" s="8" t="s">
        <v>62</v>
      </c>
      <c r="C87" s="8" t="s">
        <v>63</v>
      </c>
      <c r="D87" s="8" t="s">
        <v>57</v>
      </c>
      <c r="E87" s="8">
        <v>5</v>
      </c>
      <c r="F87" s="8">
        <v>4</v>
      </c>
      <c r="G87" s="8">
        <v>6</v>
      </c>
      <c r="H87" s="18">
        <f t="shared" si="2"/>
        <v>0</v>
      </c>
      <c r="I87" s="18" t="str">
        <f t="shared" si="3"/>
        <v>كافٍ ومستقر</v>
      </c>
    </row>
    <row r="88" spans="1:9" ht="20.100000000000001" customHeight="1" x14ac:dyDescent="0.25">
      <c r="A88" s="8" t="s">
        <v>73</v>
      </c>
      <c r="B88" s="8" t="s">
        <v>64</v>
      </c>
      <c r="C88" s="8" t="s">
        <v>65</v>
      </c>
      <c r="D88" s="8" t="s">
        <v>57</v>
      </c>
      <c r="E88" s="8">
        <v>3</v>
      </c>
      <c r="F88" s="8">
        <v>3</v>
      </c>
      <c r="G88" s="8">
        <v>4</v>
      </c>
      <c r="H88" s="18">
        <f t="shared" si="2"/>
        <v>3</v>
      </c>
      <c r="I88" s="18" t="str">
        <f t="shared" si="3"/>
        <v>منخفض (استيفاء)</v>
      </c>
    </row>
    <row r="89" spans="1:9" ht="20.100000000000001" customHeight="1" x14ac:dyDescent="0.25">
      <c r="A89" s="8" t="s">
        <v>73</v>
      </c>
      <c r="B89" s="8" t="s">
        <v>66</v>
      </c>
      <c r="C89" s="8" t="s">
        <v>67</v>
      </c>
      <c r="D89" s="8" t="s">
        <v>57</v>
      </c>
      <c r="E89" s="8">
        <v>14</v>
      </c>
      <c r="F89" s="8">
        <v>12</v>
      </c>
      <c r="G89" s="8">
        <v>45</v>
      </c>
      <c r="H89" s="18">
        <f t="shared" si="2"/>
        <v>0</v>
      </c>
      <c r="I89" s="18" t="str">
        <f t="shared" si="3"/>
        <v>كافٍ ومستقر</v>
      </c>
    </row>
    <row r="90" spans="1:9" ht="20.100000000000001" customHeight="1" x14ac:dyDescent="0.25">
      <c r="A90" s="8" t="s">
        <v>73</v>
      </c>
      <c r="B90" s="8" t="s">
        <v>68</v>
      </c>
      <c r="C90" s="8" t="s">
        <v>69</v>
      </c>
      <c r="D90" s="8" t="s">
        <v>57</v>
      </c>
      <c r="E90" s="8">
        <v>6</v>
      </c>
      <c r="F90" s="8">
        <v>5</v>
      </c>
      <c r="G90" s="8">
        <v>10</v>
      </c>
      <c r="H90" s="18">
        <f t="shared" si="2"/>
        <v>0</v>
      </c>
      <c r="I90" s="18" t="str">
        <f t="shared" si="3"/>
        <v>كافٍ ومستقر</v>
      </c>
    </row>
    <row r="91" spans="1:9" ht="20.100000000000001" customHeight="1" x14ac:dyDescent="0.25">
      <c r="A91" s="8" t="s">
        <v>73</v>
      </c>
      <c r="B91" s="8" t="s">
        <v>70</v>
      </c>
      <c r="C91" s="8" t="s">
        <v>71</v>
      </c>
      <c r="D91" s="8" t="s">
        <v>57</v>
      </c>
      <c r="E91" s="8">
        <v>3</v>
      </c>
      <c r="F91" s="8">
        <v>3</v>
      </c>
      <c r="G91" s="8">
        <v>5</v>
      </c>
      <c r="H91" s="18">
        <f t="shared" si="2"/>
        <v>3</v>
      </c>
      <c r="I91" s="18" t="str">
        <f t="shared" si="3"/>
        <v>منخفض (استيفاء)</v>
      </c>
    </row>
    <row r="92" spans="1:9" ht="20.100000000000001" customHeight="1" x14ac:dyDescent="0.25">
      <c r="A92" s="8" t="s">
        <v>74</v>
      </c>
      <c r="B92" s="8" t="s">
        <v>8</v>
      </c>
      <c r="C92" s="8" t="s">
        <v>9</v>
      </c>
      <c r="D92" s="8" t="s">
        <v>10</v>
      </c>
      <c r="E92" s="8">
        <v>15</v>
      </c>
      <c r="F92" s="8">
        <v>25</v>
      </c>
      <c r="G92" s="8">
        <v>180</v>
      </c>
      <c r="H92" s="18">
        <f t="shared" si="2"/>
        <v>35</v>
      </c>
      <c r="I92" s="18" t="str">
        <f t="shared" si="3"/>
        <v>منخفض (استيفاء)</v>
      </c>
    </row>
    <row r="93" spans="1:9" ht="20.100000000000001" customHeight="1" x14ac:dyDescent="0.25">
      <c r="A93" s="8" t="s">
        <v>74</v>
      </c>
      <c r="B93" s="8" t="s">
        <v>11</v>
      </c>
      <c r="C93" s="8" t="s">
        <v>12</v>
      </c>
      <c r="D93" s="8" t="s">
        <v>10</v>
      </c>
      <c r="E93" s="8">
        <v>40</v>
      </c>
      <c r="F93" s="8">
        <v>30</v>
      </c>
      <c r="G93" s="8">
        <v>240</v>
      </c>
      <c r="H93" s="18">
        <f t="shared" si="2"/>
        <v>0</v>
      </c>
      <c r="I93" s="18" t="str">
        <f t="shared" si="3"/>
        <v>كافٍ ومستقر</v>
      </c>
    </row>
    <row r="94" spans="1:9" ht="20.100000000000001" customHeight="1" x14ac:dyDescent="0.25">
      <c r="A94" s="8" t="s">
        <v>74</v>
      </c>
      <c r="B94" s="8" t="s">
        <v>13</v>
      </c>
      <c r="C94" s="8" t="s">
        <v>14</v>
      </c>
      <c r="D94" s="8" t="s">
        <v>10</v>
      </c>
      <c r="E94" s="8">
        <v>0</v>
      </c>
      <c r="F94" s="8">
        <v>20</v>
      </c>
      <c r="G94" s="8">
        <v>0</v>
      </c>
      <c r="H94" s="18">
        <f t="shared" si="2"/>
        <v>40</v>
      </c>
      <c r="I94" s="18" t="str">
        <f t="shared" si="3"/>
        <v>منتهي</v>
      </c>
    </row>
    <row r="95" spans="1:9" ht="20.100000000000001" customHeight="1" x14ac:dyDescent="0.25">
      <c r="A95" s="8" t="s">
        <v>74</v>
      </c>
      <c r="B95" s="8" t="s">
        <v>15</v>
      </c>
      <c r="C95" s="8" t="s">
        <v>16</v>
      </c>
      <c r="D95" s="8" t="s">
        <v>10</v>
      </c>
      <c r="E95" s="8">
        <v>32</v>
      </c>
      <c r="F95" s="8">
        <v>20</v>
      </c>
      <c r="G95" s="8">
        <v>150</v>
      </c>
      <c r="H95" s="18">
        <f t="shared" si="2"/>
        <v>0</v>
      </c>
      <c r="I95" s="18" t="str">
        <f t="shared" si="3"/>
        <v>كافٍ ومستقر</v>
      </c>
    </row>
    <row r="96" spans="1:9" ht="20.100000000000001" customHeight="1" x14ac:dyDescent="0.25">
      <c r="A96" s="8" t="s">
        <v>74</v>
      </c>
      <c r="B96" s="8" t="s">
        <v>17</v>
      </c>
      <c r="C96" s="8" t="s">
        <v>18</v>
      </c>
      <c r="D96" s="8" t="s">
        <v>10</v>
      </c>
      <c r="E96" s="8">
        <v>55</v>
      </c>
      <c r="F96" s="8">
        <v>40</v>
      </c>
      <c r="G96" s="8">
        <v>320</v>
      </c>
      <c r="H96" s="18">
        <f t="shared" si="2"/>
        <v>0</v>
      </c>
      <c r="I96" s="18" t="str">
        <f t="shared" si="3"/>
        <v>كافٍ ومستقر</v>
      </c>
    </row>
    <row r="97" spans="1:9" ht="20.100000000000001" customHeight="1" x14ac:dyDescent="0.25">
      <c r="A97" s="8" t="s">
        <v>74</v>
      </c>
      <c r="B97" s="8" t="s">
        <v>19</v>
      </c>
      <c r="C97" s="8" t="s">
        <v>20</v>
      </c>
      <c r="D97" s="8" t="s">
        <v>10</v>
      </c>
      <c r="E97" s="8">
        <v>45</v>
      </c>
      <c r="F97" s="8">
        <v>25</v>
      </c>
      <c r="G97" s="8">
        <v>75</v>
      </c>
      <c r="H97" s="18">
        <f t="shared" si="2"/>
        <v>0</v>
      </c>
      <c r="I97" s="18" t="str">
        <f t="shared" si="3"/>
        <v>كافٍ ومستقر</v>
      </c>
    </row>
    <row r="98" spans="1:9" ht="20.100000000000001" customHeight="1" x14ac:dyDescent="0.25">
      <c r="A98" s="8" t="s">
        <v>74</v>
      </c>
      <c r="B98" s="8" t="s">
        <v>21</v>
      </c>
      <c r="C98" s="8" t="s">
        <v>22</v>
      </c>
      <c r="D98" s="8" t="s">
        <v>10</v>
      </c>
      <c r="E98" s="8">
        <v>20</v>
      </c>
      <c r="F98" s="8">
        <v>15</v>
      </c>
      <c r="G98" s="8">
        <v>45</v>
      </c>
      <c r="H98" s="18">
        <f t="shared" si="2"/>
        <v>0</v>
      </c>
      <c r="I98" s="18" t="str">
        <f t="shared" si="3"/>
        <v>كافٍ ومستقر</v>
      </c>
    </row>
    <row r="99" spans="1:9" ht="20.100000000000001" customHeight="1" x14ac:dyDescent="0.25">
      <c r="A99" s="8" t="s">
        <v>74</v>
      </c>
      <c r="B99" s="8" t="s">
        <v>23</v>
      </c>
      <c r="C99" s="8" t="s">
        <v>24</v>
      </c>
      <c r="D99" s="8" t="s">
        <v>10</v>
      </c>
      <c r="E99" s="8">
        <v>35</v>
      </c>
      <c r="F99" s="8">
        <v>10</v>
      </c>
      <c r="G99" s="8">
        <v>30</v>
      </c>
      <c r="H99" s="18">
        <f t="shared" si="2"/>
        <v>0</v>
      </c>
      <c r="I99" s="18" t="str">
        <f t="shared" si="3"/>
        <v>مخزون زائد</v>
      </c>
    </row>
    <row r="100" spans="1:9" ht="20.100000000000001" customHeight="1" x14ac:dyDescent="0.25">
      <c r="A100" s="8" t="s">
        <v>74</v>
      </c>
      <c r="B100" s="8" t="s">
        <v>25</v>
      </c>
      <c r="C100" s="8" t="s">
        <v>26</v>
      </c>
      <c r="D100" s="8" t="s">
        <v>27</v>
      </c>
      <c r="E100" s="8">
        <v>36</v>
      </c>
      <c r="F100" s="8">
        <v>20</v>
      </c>
      <c r="G100" s="8">
        <v>120</v>
      </c>
      <c r="H100" s="18">
        <f t="shared" si="2"/>
        <v>0</v>
      </c>
      <c r="I100" s="18" t="str">
        <f t="shared" si="3"/>
        <v>كافٍ ومستقر</v>
      </c>
    </row>
    <row r="101" spans="1:9" ht="20.100000000000001" customHeight="1" x14ac:dyDescent="0.25">
      <c r="A101" s="8" t="s">
        <v>74</v>
      </c>
      <c r="B101" s="8" t="s">
        <v>28</v>
      </c>
      <c r="C101" s="8" t="s">
        <v>29</v>
      </c>
      <c r="D101" s="8" t="s">
        <v>27</v>
      </c>
      <c r="E101" s="8">
        <v>50</v>
      </c>
      <c r="F101" s="8">
        <v>35</v>
      </c>
      <c r="G101" s="8">
        <v>210</v>
      </c>
      <c r="H101" s="18">
        <f t="shared" si="2"/>
        <v>0</v>
      </c>
      <c r="I101" s="18" t="str">
        <f t="shared" si="3"/>
        <v>كافٍ ومستقر</v>
      </c>
    </row>
    <row r="102" spans="1:9" ht="20.100000000000001" customHeight="1" x14ac:dyDescent="0.25">
      <c r="A102" s="8" t="s">
        <v>74</v>
      </c>
      <c r="B102" s="8" t="s">
        <v>30</v>
      </c>
      <c r="C102" s="8" t="s">
        <v>31</v>
      </c>
      <c r="D102" s="8" t="s">
        <v>27</v>
      </c>
      <c r="E102" s="8">
        <v>25</v>
      </c>
      <c r="F102" s="8">
        <v>15</v>
      </c>
      <c r="G102" s="8">
        <v>50</v>
      </c>
      <c r="H102" s="18">
        <f t="shared" si="2"/>
        <v>0</v>
      </c>
      <c r="I102" s="18" t="str">
        <f t="shared" si="3"/>
        <v>كافٍ ومستقر</v>
      </c>
    </row>
    <row r="103" spans="1:9" ht="20.100000000000001" customHeight="1" x14ac:dyDescent="0.25">
      <c r="A103" s="8" t="s">
        <v>74</v>
      </c>
      <c r="B103" s="8" t="s">
        <v>32</v>
      </c>
      <c r="C103" s="8" t="s">
        <v>33</v>
      </c>
      <c r="D103" s="8" t="s">
        <v>27</v>
      </c>
      <c r="E103" s="8">
        <v>0</v>
      </c>
      <c r="F103" s="8">
        <v>30</v>
      </c>
      <c r="G103" s="8">
        <v>0</v>
      </c>
      <c r="H103" s="18">
        <f t="shared" si="2"/>
        <v>60</v>
      </c>
      <c r="I103" s="18" t="str">
        <f t="shared" si="3"/>
        <v>منتهي</v>
      </c>
    </row>
    <row r="104" spans="1:9" ht="20.100000000000001" customHeight="1" x14ac:dyDescent="0.25">
      <c r="A104" s="8" t="s">
        <v>74</v>
      </c>
      <c r="B104" s="8" t="s">
        <v>34</v>
      </c>
      <c r="C104" s="8" t="s">
        <v>35</v>
      </c>
      <c r="D104" s="8" t="s">
        <v>27</v>
      </c>
      <c r="E104" s="8">
        <v>48</v>
      </c>
      <c r="F104" s="8">
        <v>25</v>
      </c>
      <c r="G104" s="8">
        <v>140</v>
      </c>
      <c r="H104" s="18">
        <f t="shared" si="2"/>
        <v>0</v>
      </c>
      <c r="I104" s="18" t="str">
        <f t="shared" si="3"/>
        <v>كافٍ ومستقر</v>
      </c>
    </row>
    <row r="105" spans="1:9" ht="20.100000000000001" customHeight="1" x14ac:dyDescent="0.25">
      <c r="A105" s="8" t="s">
        <v>74</v>
      </c>
      <c r="B105" s="8" t="s">
        <v>36</v>
      </c>
      <c r="C105" s="8" t="s">
        <v>37</v>
      </c>
      <c r="D105" s="8" t="s">
        <v>27</v>
      </c>
      <c r="E105" s="8">
        <v>12</v>
      </c>
      <c r="F105" s="8">
        <v>20</v>
      </c>
      <c r="G105" s="8">
        <v>90</v>
      </c>
      <c r="H105" s="18">
        <f t="shared" si="2"/>
        <v>28</v>
      </c>
      <c r="I105" s="18" t="str">
        <f t="shared" si="3"/>
        <v>منخفض (استيفاء)</v>
      </c>
    </row>
    <row r="106" spans="1:9" ht="20.100000000000001" customHeight="1" x14ac:dyDescent="0.25">
      <c r="A106" s="8" t="s">
        <v>74</v>
      </c>
      <c r="B106" s="8" t="s">
        <v>38</v>
      </c>
      <c r="C106" s="8" t="s">
        <v>39</v>
      </c>
      <c r="D106" s="8" t="s">
        <v>27</v>
      </c>
      <c r="E106" s="8">
        <v>18</v>
      </c>
      <c r="F106" s="8">
        <v>12</v>
      </c>
      <c r="G106" s="8">
        <v>40</v>
      </c>
      <c r="H106" s="18">
        <f t="shared" si="2"/>
        <v>0</v>
      </c>
      <c r="I106" s="18" t="str">
        <f t="shared" si="3"/>
        <v>كافٍ ومستقر</v>
      </c>
    </row>
    <row r="107" spans="1:9" ht="20.100000000000001" customHeight="1" x14ac:dyDescent="0.25">
      <c r="A107" s="8" t="s">
        <v>74</v>
      </c>
      <c r="B107" s="8" t="s">
        <v>40</v>
      </c>
      <c r="C107" s="8" t="s">
        <v>41</v>
      </c>
      <c r="D107" s="8" t="s">
        <v>42</v>
      </c>
      <c r="E107" s="8">
        <v>28</v>
      </c>
      <c r="F107" s="8">
        <v>20</v>
      </c>
      <c r="G107" s="8">
        <v>110</v>
      </c>
      <c r="H107" s="18">
        <f t="shared" si="2"/>
        <v>0</v>
      </c>
      <c r="I107" s="18" t="str">
        <f t="shared" si="3"/>
        <v>كافٍ ومستقر</v>
      </c>
    </row>
    <row r="108" spans="1:9" ht="20.100000000000001" customHeight="1" x14ac:dyDescent="0.25">
      <c r="A108" s="8" t="s">
        <v>74</v>
      </c>
      <c r="B108" s="8" t="s">
        <v>43</v>
      </c>
      <c r="C108" s="8" t="s">
        <v>44</v>
      </c>
      <c r="D108" s="8" t="s">
        <v>42</v>
      </c>
      <c r="E108" s="8">
        <v>35</v>
      </c>
      <c r="F108" s="8">
        <v>25</v>
      </c>
      <c r="G108" s="8">
        <v>130</v>
      </c>
      <c r="H108" s="18">
        <f t="shared" si="2"/>
        <v>0</v>
      </c>
      <c r="I108" s="18" t="str">
        <f t="shared" si="3"/>
        <v>كافٍ ومستقر</v>
      </c>
    </row>
    <row r="109" spans="1:9" ht="20.100000000000001" customHeight="1" x14ac:dyDescent="0.25">
      <c r="A109" s="8" t="s">
        <v>74</v>
      </c>
      <c r="B109" s="8" t="s">
        <v>45</v>
      </c>
      <c r="C109" s="8" t="s">
        <v>46</v>
      </c>
      <c r="D109" s="8" t="s">
        <v>42</v>
      </c>
      <c r="E109" s="8">
        <v>40</v>
      </c>
      <c r="F109" s="8">
        <v>20</v>
      </c>
      <c r="G109" s="8">
        <v>80</v>
      </c>
      <c r="H109" s="18">
        <f t="shared" si="2"/>
        <v>0</v>
      </c>
      <c r="I109" s="18" t="str">
        <f t="shared" si="3"/>
        <v>كافٍ ومستقر</v>
      </c>
    </row>
    <row r="110" spans="1:9" ht="20.100000000000001" customHeight="1" x14ac:dyDescent="0.25">
      <c r="A110" s="8" t="s">
        <v>74</v>
      </c>
      <c r="B110" s="8" t="s">
        <v>47</v>
      </c>
      <c r="C110" s="8" t="s">
        <v>48</v>
      </c>
      <c r="D110" s="8" t="s">
        <v>42</v>
      </c>
      <c r="E110" s="8">
        <v>22</v>
      </c>
      <c r="F110" s="8">
        <v>15</v>
      </c>
      <c r="G110" s="8">
        <v>20</v>
      </c>
      <c r="H110" s="18">
        <f t="shared" si="2"/>
        <v>0</v>
      </c>
      <c r="I110" s="18" t="str">
        <f t="shared" si="3"/>
        <v>كافٍ ومستقر</v>
      </c>
    </row>
    <row r="111" spans="1:9" ht="20.100000000000001" customHeight="1" x14ac:dyDescent="0.25">
      <c r="A111" s="8" t="s">
        <v>74</v>
      </c>
      <c r="B111" s="8" t="s">
        <v>49</v>
      </c>
      <c r="C111" s="8" t="s">
        <v>50</v>
      </c>
      <c r="D111" s="8" t="s">
        <v>42</v>
      </c>
      <c r="E111" s="8">
        <v>14</v>
      </c>
      <c r="F111" s="8">
        <v>10</v>
      </c>
      <c r="G111" s="8">
        <v>15</v>
      </c>
      <c r="H111" s="18">
        <f t="shared" si="2"/>
        <v>0</v>
      </c>
      <c r="I111" s="18" t="str">
        <f t="shared" si="3"/>
        <v>كافٍ ومستقر</v>
      </c>
    </row>
    <row r="112" spans="1:9" ht="20.100000000000001" customHeight="1" x14ac:dyDescent="0.25">
      <c r="A112" s="8" t="s">
        <v>74</v>
      </c>
      <c r="B112" s="8" t="s">
        <v>51</v>
      </c>
      <c r="C112" s="8" t="s">
        <v>52</v>
      </c>
      <c r="D112" s="8" t="s">
        <v>42</v>
      </c>
      <c r="E112" s="8">
        <v>20</v>
      </c>
      <c r="F112" s="8">
        <v>15</v>
      </c>
      <c r="G112" s="8">
        <v>55</v>
      </c>
      <c r="H112" s="18">
        <f t="shared" si="2"/>
        <v>0</v>
      </c>
      <c r="I112" s="18" t="str">
        <f t="shared" si="3"/>
        <v>كافٍ ومستقر</v>
      </c>
    </row>
    <row r="113" spans="1:9" ht="20.100000000000001" customHeight="1" x14ac:dyDescent="0.25">
      <c r="A113" s="8" t="s">
        <v>74</v>
      </c>
      <c r="B113" s="8" t="s">
        <v>53</v>
      </c>
      <c r="C113" s="8" t="s">
        <v>54</v>
      </c>
      <c r="D113" s="8" t="s">
        <v>42</v>
      </c>
      <c r="E113" s="8">
        <v>25</v>
      </c>
      <c r="F113" s="8">
        <v>20</v>
      </c>
      <c r="G113" s="8">
        <v>60</v>
      </c>
      <c r="H113" s="18">
        <f t="shared" si="2"/>
        <v>0</v>
      </c>
      <c r="I113" s="18" t="str">
        <f t="shared" si="3"/>
        <v>كافٍ ومستقر</v>
      </c>
    </row>
    <row r="114" spans="1:9" ht="20.100000000000001" customHeight="1" x14ac:dyDescent="0.25">
      <c r="A114" s="8" t="s">
        <v>74</v>
      </c>
      <c r="B114" s="8" t="s">
        <v>55</v>
      </c>
      <c r="C114" s="8" t="s">
        <v>56</v>
      </c>
      <c r="D114" s="8" t="s">
        <v>57</v>
      </c>
      <c r="E114" s="8">
        <v>8</v>
      </c>
      <c r="F114" s="8">
        <v>6</v>
      </c>
      <c r="G114" s="8">
        <v>12</v>
      </c>
      <c r="H114" s="18">
        <f t="shared" si="2"/>
        <v>0</v>
      </c>
      <c r="I114" s="18" t="str">
        <f t="shared" si="3"/>
        <v>كافٍ ومستقر</v>
      </c>
    </row>
    <row r="115" spans="1:9" ht="20.100000000000001" customHeight="1" x14ac:dyDescent="0.25">
      <c r="A115" s="8" t="s">
        <v>74</v>
      </c>
      <c r="B115" s="8" t="s">
        <v>58</v>
      </c>
      <c r="C115" s="8" t="s">
        <v>59</v>
      </c>
      <c r="D115" s="8" t="s">
        <v>57</v>
      </c>
      <c r="E115" s="8">
        <v>8</v>
      </c>
      <c r="F115" s="8">
        <v>5</v>
      </c>
      <c r="G115" s="8">
        <v>8</v>
      </c>
      <c r="H115" s="18">
        <f t="shared" si="2"/>
        <v>0</v>
      </c>
      <c r="I115" s="18" t="str">
        <f t="shared" si="3"/>
        <v>كافٍ ومستقر</v>
      </c>
    </row>
    <row r="116" spans="1:9" ht="20.100000000000001" customHeight="1" x14ac:dyDescent="0.25">
      <c r="A116" s="8" t="s">
        <v>74</v>
      </c>
      <c r="B116" s="8" t="s">
        <v>60</v>
      </c>
      <c r="C116" s="8" t="s">
        <v>61</v>
      </c>
      <c r="D116" s="8" t="s">
        <v>57</v>
      </c>
      <c r="E116" s="8">
        <v>5</v>
      </c>
      <c r="F116" s="8">
        <v>5</v>
      </c>
      <c r="G116" s="8">
        <v>0</v>
      </c>
      <c r="H116" s="18">
        <f t="shared" si="2"/>
        <v>5</v>
      </c>
      <c r="I116" s="18" t="str">
        <f t="shared" si="3"/>
        <v>منخفض (استيفاء)</v>
      </c>
    </row>
    <row r="117" spans="1:9" ht="20.100000000000001" customHeight="1" x14ac:dyDescent="0.25">
      <c r="A117" s="8" t="s">
        <v>74</v>
      </c>
      <c r="B117" s="8" t="s">
        <v>62</v>
      </c>
      <c r="C117" s="8" t="s">
        <v>63</v>
      </c>
      <c r="D117" s="8" t="s">
        <v>57</v>
      </c>
      <c r="E117" s="8">
        <v>6</v>
      </c>
      <c r="F117" s="8">
        <v>4</v>
      </c>
      <c r="G117" s="8">
        <v>6</v>
      </c>
      <c r="H117" s="18">
        <f t="shared" si="2"/>
        <v>0</v>
      </c>
      <c r="I117" s="18" t="str">
        <f t="shared" si="3"/>
        <v>كافٍ ومستقر</v>
      </c>
    </row>
    <row r="118" spans="1:9" ht="20.100000000000001" customHeight="1" x14ac:dyDescent="0.25">
      <c r="A118" s="8" t="s">
        <v>74</v>
      </c>
      <c r="B118" s="8" t="s">
        <v>64</v>
      </c>
      <c r="C118" s="8" t="s">
        <v>65</v>
      </c>
      <c r="D118" s="8" t="s">
        <v>57</v>
      </c>
      <c r="E118" s="8">
        <v>4</v>
      </c>
      <c r="F118" s="8">
        <v>3</v>
      </c>
      <c r="G118" s="8">
        <v>4</v>
      </c>
      <c r="H118" s="18">
        <f t="shared" si="2"/>
        <v>0</v>
      </c>
      <c r="I118" s="18" t="str">
        <f t="shared" si="3"/>
        <v>كافٍ ومستقر</v>
      </c>
    </row>
    <row r="119" spans="1:9" ht="20.100000000000001" customHeight="1" x14ac:dyDescent="0.25">
      <c r="A119" s="8" t="s">
        <v>74</v>
      </c>
      <c r="B119" s="8" t="s">
        <v>66</v>
      </c>
      <c r="C119" s="8" t="s">
        <v>67</v>
      </c>
      <c r="D119" s="8" t="s">
        <v>57</v>
      </c>
      <c r="E119" s="8">
        <v>22</v>
      </c>
      <c r="F119" s="8">
        <v>12</v>
      </c>
      <c r="G119" s="8">
        <v>45</v>
      </c>
      <c r="H119" s="18">
        <f t="shared" si="2"/>
        <v>0</v>
      </c>
      <c r="I119" s="18" t="str">
        <f t="shared" si="3"/>
        <v>كافٍ ومستقر</v>
      </c>
    </row>
    <row r="120" spans="1:9" ht="20.100000000000001" customHeight="1" x14ac:dyDescent="0.25">
      <c r="A120" s="8" t="s">
        <v>74</v>
      </c>
      <c r="B120" s="8" t="s">
        <v>68</v>
      </c>
      <c r="C120" s="8" t="s">
        <v>69</v>
      </c>
      <c r="D120" s="8" t="s">
        <v>57</v>
      </c>
      <c r="E120" s="8">
        <v>7</v>
      </c>
      <c r="F120" s="8">
        <v>5</v>
      </c>
      <c r="G120" s="8">
        <v>10</v>
      </c>
      <c r="H120" s="18">
        <f t="shared" si="2"/>
        <v>0</v>
      </c>
      <c r="I120" s="18" t="str">
        <f t="shared" si="3"/>
        <v>كافٍ ومستقر</v>
      </c>
    </row>
    <row r="121" spans="1:9" ht="20.100000000000001" customHeight="1" x14ac:dyDescent="0.25">
      <c r="A121" s="8" t="s">
        <v>74</v>
      </c>
      <c r="B121" s="8" t="s">
        <v>70</v>
      </c>
      <c r="C121" s="8" t="s">
        <v>71</v>
      </c>
      <c r="D121" s="8" t="s">
        <v>57</v>
      </c>
      <c r="E121" s="8">
        <v>4</v>
      </c>
      <c r="F121" s="8">
        <v>3</v>
      </c>
      <c r="G121" s="8">
        <v>5</v>
      </c>
      <c r="H121" s="18">
        <f t="shared" si="2"/>
        <v>0</v>
      </c>
      <c r="I121" s="18" t="str">
        <f t="shared" si="3"/>
        <v>كافٍ ومستقر</v>
      </c>
    </row>
    <row r="122" spans="1:9" ht="20.100000000000001" customHeight="1" x14ac:dyDescent="0.25">
      <c r="A122" s="8" t="s">
        <v>75</v>
      </c>
      <c r="B122" s="8" t="s">
        <v>8</v>
      </c>
      <c r="C122" s="8" t="s">
        <v>9</v>
      </c>
      <c r="D122" s="8" t="s">
        <v>10</v>
      </c>
      <c r="E122" s="8">
        <v>30</v>
      </c>
      <c r="F122" s="8">
        <v>25</v>
      </c>
      <c r="G122" s="8">
        <v>180</v>
      </c>
      <c r="H122" s="18">
        <f t="shared" si="2"/>
        <v>0</v>
      </c>
      <c r="I122" s="18" t="str">
        <f t="shared" si="3"/>
        <v>كافٍ ومستقر</v>
      </c>
    </row>
    <row r="123" spans="1:9" ht="20.100000000000001" customHeight="1" x14ac:dyDescent="0.25">
      <c r="A123" s="8" t="s">
        <v>75</v>
      </c>
      <c r="B123" s="8" t="s">
        <v>11</v>
      </c>
      <c r="C123" s="8" t="s">
        <v>12</v>
      </c>
      <c r="D123" s="8" t="s">
        <v>10</v>
      </c>
      <c r="E123" s="8">
        <v>45</v>
      </c>
      <c r="F123" s="8">
        <v>30</v>
      </c>
      <c r="G123" s="8">
        <v>240</v>
      </c>
      <c r="H123" s="18">
        <f t="shared" si="2"/>
        <v>0</v>
      </c>
      <c r="I123" s="18" t="str">
        <f t="shared" si="3"/>
        <v>كافٍ ومستقر</v>
      </c>
    </row>
    <row r="124" spans="1:9" ht="20.100000000000001" customHeight="1" x14ac:dyDescent="0.25">
      <c r="A124" s="8" t="s">
        <v>75</v>
      </c>
      <c r="B124" s="8" t="s">
        <v>13</v>
      </c>
      <c r="C124" s="8" t="s">
        <v>14</v>
      </c>
      <c r="D124" s="8" t="s">
        <v>10</v>
      </c>
      <c r="E124" s="8">
        <v>10</v>
      </c>
      <c r="F124" s="8">
        <v>20</v>
      </c>
      <c r="G124" s="8">
        <v>0</v>
      </c>
      <c r="H124" s="18">
        <f t="shared" si="2"/>
        <v>30</v>
      </c>
      <c r="I124" s="18" t="str">
        <f t="shared" si="3"/>
        <v>منخفض (استيفاء)</v>
      </c>
    </row>
    <row r="125" spans="1:9" ht="20.100000000000001" customHeight="1" x14ac:dyDescent="0.25">
      <c r="A125" s="8" t="s">
        <v>75</v>
      </c>
      <c r="B125" s="8" t="s">
        <v>15</v>
      </c>
      <c r="C125" s="8" t="s">
        <v>16</v>
      </c>
      <c r="D125" s="8" t="s">
        <v>10</v>
      </c>
      <c r="E125" s="8">
        <v>10</v>
      </c>
      <c r="F125" s="8">
        <v>20</v>
      </c>
      <c r="G125" s="8">
        <v>150</v>
      </c>
      <c r="H125" s="18">
        <f t="shared" si="2"/>
        <v>30</v>
      </c>
      <c r="I125" s="18" t="str">
        <f t="shared" si="3"/>
        <v>منخفض (استيفاء)</v>
      </c>
    </row>
    <row r="126" spans="1:9" ht="20.100000000000001" customHeight="1" x14ac:dyDescent="0.25">
      <c r="A126" s="8" t="s">
        <v>75</v>
      </c>
      <c r="B126" s="8" t="s">
        <v>17</v>
      </c>
      <c r="C126" s="8" t="s">
        <v>18</v>
      </c>
      <c r="D126" s="8" t="s">
        <v>10</v>
      </c>
      <c r="E126" s="8">
        <v>50</v>
      </c>
      <c r="F126" s="8">
        <v>40</v>
      </c>
      <c r="G126" s="8">
        <v>320</v>
      </c>
      <c r="H126" s="18">
        <f t="shared" si="2"/>
        <v>0</v>
      </c>
      <c r="I126" s="18" t="str">
        <f t="shared" si="3"/>
        <v>كافٍ ومستقر</v>
      </c>
    </row>
    <row r="127" spans="1:9" ht="20.100000000000001" customHeight="1" x14ac:dyDescent="0.25">
      <c r="A127" s="8" t="s">
        <v>75</v>
      </c>
      <c r="B127" s="8" t="s">
        <v>19</v>
      </c>
      <c r="C127" s="8" t="s">
        <v>20</v>
      </c>
      <c r="D127" s="8" t="s">
        <v>10</v>
      </c>
      <c r="E127" s="8">
        <v>30</v>
      </c>
      <c r="F127" s="8">
        <v>25</v>
      </c>
      <c r="G127" s="8">
        <v>75</v>
      </c>
      <c r="H127" s="18">
        <f t="shared" si="2"/>
        <v>0</v>
      </c>
      <c r="I127" s="18" t="str">
        <f t="shared" si="3"/>
        <v>كافٍ ومستقر</v>
      </c>
    </row>
    <row r="128" spans="1:9" ht="20.100000000000001" customHeight="1" x14ac:dyDescent="0.25">
      <c r="A128" s="8" t="s">
        <v>75</v>
      </c>
      <c r="B128" s="8" t="s">
        <v>21</v>
      </c>
      <c r="C128" s="8" t="s">
        <v>22</v>
      </c>
      <c r="D128" s="8" t="s">
        <v>10</v>
      </c>
      <c r="E128" s="8">
        <v>22</v>
      </c>
      <c r="F128" s="8">
        <v>15</v>
      </c>
      <c r="G128" s="8">
        <v>45</v>
      </c>
      <c r="H128" s="18">
        <f t="shared" si="2"/>
        <v>0</v>
      </c>
      <c r="I128" s="18" t="str">
        <f t="shared" si="3"/>
        <v>كافٍ ومستقر</v>
      </c>
    </row>
    <row r="129" spans="1:9" ht="20.100000000000001" customHeight="1" x14ac:dyDescent="0.25">
      <c r="A129" s="8" t="s">
        <v>75</v>
      </c>
      <c r="B129" s="8" t="s">
        <v>23</v>
      </c>
      <c r="C129" s="8" t="s">
        <v>24</v>
      </c>
      <c r="D129" s="8" t="s">
        <v>10</v>
      </c>
      <c r="E129" s="8">
        <v>18</v>
      </c>
      <c r="F129" s="8">
        <v>10</v>
      </c>
      <c r="G129" s="8">
        <v>30</v>
      </c>
      <c r="H129" s="18">
        <f t="shared" si="2"/>
        <v>0</v>
      </c>
      <c r="I129" s="18" t="str">
        <f t="shared" si="3"/>
        <v>كافٍ ومستقر</v>
      </c>
    </row>
    <row r="130" spans="1:9" ht="20.100000000000001" customHeight="1" x14ac:dyDescent="0.25">
      <c r="A130" s="8" t="s">
        <v>75</v>
      </c>
      <c r="B130" s="8" t="s">
        <v>25</v>
      </c>
      <c r="C130" s="8" t="s">
        <v>26</v>
      </c>
      <c r="D130" s="8" t="s">
        <v>27</v>
      </c>
      <c r="E130" s="8">
        <v>28</v>
      </c>
      <c r="F130" s="8">
        <v>20</v>
      </c>
      <c r="G130" s="8">
        <v>120</v>
      </c>
      <c r="H130" s="18">
        <f t="shared" si="2"/>
        <v>0</v>
      </c>
      <c r="I130" s="18" t="str">
        <f t="shared" si="3"/>
        <v>كافٍ ومستقر</v>
      </c>
    </row>
    <row r="131" spans="1:9" ht="20.100000000000001" customHeight="1" x14ac:dyDescent="0.25">
      <c r="A131" s="8" t="s">
        <v>75</v>
      </c>
      <c r="B131" s="8" t="s">
        <v>28</v>
      </c>
      <c r="C131" s="8" t="s">
        <v>29</v>
      </c>
      <c r="D131" s="8" t="s">
        <v>27</v>
      </c>
      <c r="E131" s="8">
        <v>18</v>
      </c>
      <c r="F131" s="8">
        <v>35</v>
      </c>
      <c r="G131" s="8">
        <v>210</v>
      </c>
      <c r="H131" s="18">
        <f t="shared" ref="H131:H151" si="4">IF(E131&lt;=F131, (F131*2)-E131, 0)</f>
        <v>52</v>
      </c>
      <c r="I131" s="18" t="str">
        <f t="shared" ref="I131:I151" si="5">IF(E131=0, "منتهي", IF(E131&lt;=F131, "منخفض (استيفاء)", IF(E131&gt;(F131*2.5), "مخزون زائد", "كافٍ ومستقر")))</f>
        <v>منخفض (استيفاء)</v>
      </c>
    </row>
    <row r="132" spans="1:9" ht="20.100000000000001" customHeight="1" x14ac:dyDescent="0.25">
      <c r="A132" s="8" t="s">
        <v>75</v>
      </c>
      <c r="B132" s="8" t="s">
        <v>30</v>
      </c>
      <c r="C132" s="8" t="s">
        <v>31</v>
      </c>
      <c r="D132" s="8" t="s">
        <v>27</v>
      </c>
      <c r="E132" s="8">
        <v>22</v>
      </c>
      <c r="F132" s="8">
        <v>15</v>
      </c>
      <c r="G132" s="8">
        <v>50</v>
      </c>
      <c r="H132" s="18">
        <f t="shared" si="4"/>
        <v>0</v>
      </c>
      <c r="I132" s="18" t="str">
        <f t="shared" si="5"/>
        <v>كافٍ ومستقر</v>
      </c>
    </row>
    <row r="133" spans="1:9" ht="20.100000000000001" customHeight="1" x14ac:dyDescent="0.25">
      <c r="A133" s="8" t="s">
        <v>75</v>
      </c>
      <c r="B133" s="8" t="s">
        <v>32</v>
      </c>
      <c r="C133" s="8" t="s">
        <v>33</v>
      </c>
      <c r="D133" s="8" t="s">
        <v>27</v>
      </c>
      <c r="E133" s="8">
        <v>0</v>
      </c>
      <c r="F133" s="8">
        <v>30</v>
      </c>
      <c r="G133" s="8">
        <v>0</v>
      </c>
      <c r="H133" s="18">
        <f t="shared" si="4"/>
        <v>60</v>
      </c>
      <c r="I133" s="18" t="str">
        <f t="shared" si="5"/>
        <v>منتهي</v>
      </c>
    </row>
    <row r="134" spans="1:9" ht="20.100000000000001" customHeight="1" x14ac:dyDescent="0.25">
      <c r="A134" s="8" t="s">
        <v>75</v>
      </c>
      <c r="B134" s="8" t="s">
        <v>34</v>
      </c>
      <c r="C134" s="8" t="s">
        <v>35</v>
      </c>
      <c r="D134" s="8" t="s">
        <v>27</v>
      </c>
      <c r="E134" s="8">
        <v>35</v>
      </c>
      <c r="F134" s="8">
        <v>25</v>
      </c>
      <c r="G134" s="8">
        <v>140</v>
      </c>
      <c r="H134" s="18">
        <f t="shared" si="4"/>
        <v>0</v>
      </c>
      <c r="I134" s="18" t="str">
        <f t="shared" si="5"/>
        <v>كافٍ ومستقر</v>
      </c>
    </row>
    <row r="135" spans="1:9" ht="20.100000000000001" customHeight="1" x14ac:dyDescent="0.25">
      <c r="A135" s="8" t="s">
        <v>75</v>
      </c>
      <c r="B135" s="8" t="s">
        <v>36</v>
      </c>
      <c r="C135" s="8" t="s">
        <v>37</v>
      </c>
      <c r="D135" s="8" t="s">
        <v>27</v>
      </c>
      <c r="E135" s="8">
        <v>28</v>
      </c>
      <c r="F135" s="8">
        <v>20</v>
      </c>
      <c r="G135" s="8">
        <v>90</v>
      </c>
      <c r="H135" s="18">
        <f t="shared" si="4"/>
        <v>0</v>
      </c>
      <c r="I135" s="18" t="str">
        <f t="shared" si="5"/>
        <v>كافٍ ومستقر</v>
      </c>
    </row>
    <row r="136" spans="1:9" ht="20.100000000000001" customHeight="1" x14ac:dyDescent="0.25">
      <c r="A136" s="8" t="s">
        <v>75</v>
      </c>
      <c r="B136" s="8" t="s">
        <v>38</v>
      </c>
      <c r="C136" s="8" t="s">
        <v>39</v>
      </c>
      <c r="D136" s="8" t="s">
        <v>27</v>
      </c>
      <c r="E136" s="8">
        <v>16</v>
      </c>
      <c r="F136" s="8">
        <v>12</v>
      </c>
      <c r="G136" s="8">
        <v>40</v>
      </c>
      <c r="H136" s="18">
        <f t="shared" si="4"/>
        <v>0</v>
      </c>
      <c r="I136" s="18" t="str">
        <f t="shared" si="5"/>
        <v>كافٍ ومستقر</v>
      </c>
    </row>
    <row r="137" spans="1:9" ht="20.100000000000001" customHeight="1" x14ac:dyDescent="0.25">
      <c r="A137" s="8" t="s">
        <v>75</v>
      </c>
      <c r="B137" s="8" t="s">
        <v>40</v>
      </c>
      <c r="C137" s="8" t="s">
        <v>41</v>
      </c>
      <c r="D137" s="8" t="s">
        <v>42</v>
      </c>
      <c r="E137" s="8">
        <v>30</v>
      </c>
      <c r="F137" s="8">
        <v>20</v>
      </c>
      <c r="G137" s="8">
        <v>110</v>
      </c>
      <c r="H137" s="18">
        <f t="shared" si="4"/>
        <v>0</v>
      </c>
      <c r="I137" s="18" t="str">
        <f t="shared" si="5"/>
        <v>كافٍ ومستقر</v>
      </c>
    </row>
    <row r="138" spans="1:9" ht="20.100000000000001" customHeight="1" x14ac:dyDescent="0.25">
      <c r="A138" s="8" t="s">
        <v>75</v>
      </c>
      <c r="B138" s="8" t="s">
        <v>43</v>
      </c>
      <c r="C138" s="8" t="s">
        <v>44</v>
      </c>
      <c r="D138" s="8" t="s">
        <v>42</v>
      </c>
      <c r="E138" s="8">
        <v>40</v>
      </c>
      <c r="F138" s="8">
        <v>25</v>
      </c>
      <c r="G138" s="8">
        <v>130</v>
      </c>
      <c r="H138" s="18">
        <f t="shared" si="4"/>
        <v>0</v>
      </c>
      <c r="I138" s="18" t="str">
        <f t="shared" si="5"/>
        <v>كافٍ ومستقر</v>
      </c>
    </row>
    <row r="139" spans="1:9" ht="20.100000000000001" customHeight="1" x14ac:dyDescent="0.25">
      <c r="A139" s="8" t="s">
        <v>75</v>
      </c>
      <c r="B139" s="8" t="s">
        <v>45</v>
      </c>
      <c r="C139" s="8" t="s">
        <v>46</v>
      </c>
      <c r="D139" s="8" t="s">
        <v>42</v>
      </c>
      <c r="E139" s="8">
        <v>32</v>
      </c>
      <c r="F139" s="8">
        <v>20</v>
      </c>
      <c r="G139" s="8">
        <v>80</v>
      </c>
      <c r="H139" s="18">
        <f t="shared" si="4"/>
        <v>0</v>
      </c>
      <c r="I139" s="18" t="str">
        <f t="shared" si="5"/>
        <v>كافٍ ومستقر</v>
      </c>
    </row>
    <row r="140" spans="1:9" ht="20.100000000000001" customHeight="1" x14ac:dyDescent="0.25">
      <c r="A140" s="8" t="s">
        <v>75</v>
      </c>
      <c r="B140" s="8" t="s">
        <v>47</v>
      </c>
      <c r="C140" s="8" t="s">
        <v>48</v>
      </c>
      <c r="D140" s="8" t="s">
        <v>42</v>
      </c>
      <c r="E140" s="8">
        <v>18</v>
      </c>
      <c r="F140" s="8">
        <v>15</v>
      </c>
      <c r="G140" s="8">
        <v>20</v>
      </c>
      <c r="H140" s="18">
        <f t="shared" si="4"/>
        <v>0</v>
      </c>
      <c r="I140" s="18" t="str">
        <f t="shared" si="5"/>
        <v>كافٍ ومستقر</v>
      </c>
    </row>
    <row r="141" spans="1:9" ht="20.100000000000001" customHeight="1" x14ac:dyDescent="0.25">
      <c r="A141" s="8" t="s">
        <v>75</v>
      </c>
      <c r="B141" s="8" t="s">
        <v>49</v>
      </c>
      <c r="C141" s="8" t="s">
        <v>50</v>
      </c>
      <c r="D141" s="8" t="s">
        <v>42</v>
      </c>
      <c r="E141" s="8">
        <v>16</v>
      </c>
      <c r="F141" s="8">
        <v>10</v>
      </c>
      <c r="G141" s="8">
        <v>15</v>
      </c>
      <c r="H141" s="18">
        <f t="shared" si="4"/>
        <v>0</v>
      </c>
      <c r="I141" s="18" t="str">
        <f t="shared" si="5"/>
        <v>كافٍ ومستقر</v>
      </c>
    </row>
    <row r="142" spans="1:9" ht="20.100000000000001" customHeight="1" x14ac:dyDescent="0.25">
      <c r="A142" s="8" t="s">
        <v>75</v>
      </c>
      <c r="B142" s="8" t="s">
        <v>51</v>
      </c>
      <c r="C142" s="8" t="s">
        <v>52</v>
      </c>
      <c r="D142" s="8" t="s">
        <v>42</v>
      </c>
      <c r="E142" s="8">
        <v>24</v>
      </c>
      <c r="F142" s="8">
        <v>15</v>
      </c>
      <c r="G142" s="8">
        <v>55</v>
      </c>
      <c r="H142" s="18">
        <f t="shared" si="4"/>
        <v>0</v>
      </c>
      <c r="I142" s="18" t="str">
        <f t="shared" si="5"/>
        <v>كافٍ ومستقر</v>
      </c>
    </row>
    <row r="143" spans="1:9" ht="20.100000000000001" customHeight="1" x14ac:dyDescent="0.25">
      <c r="A143" s="8" t="s">
        <v>75</v>
      </c>
      <c r="B143" s="8" t="s">
        <v>53</v>
      </c>
      <c r="C143" s="8" t="s">
        <v>54</v>
      </c>
      <c r="D143" s="8" t="s">
        <v>42</v>
      </c>
      <c r="E143" s="8">
        <v>28</v>
      </c>
      <c r="F143" s="8">
        <v>20</v>
      </c>
      <c r="G143" s="8">
        <v>60</v>
      </c>
      <c r="H143" s="18">
        <f t="shared" si="4"/>
        <v>0</v>
      </c>
      <c r="I143" s="18" t="str">
        <f t="shared" si="5"/>
        <v>كافٍ ومستقر</v>
      </c>
    </row>
    <row r="144" spans="1:9" ht="20.100000000000001" customHeight="1" x14ac:dyDescent="0.25">
      <c r="A144" s="8" t="s">
        <v>75</v>
      </c>
      <c r="B144" s="8" t="s">
        <v>55</v>
      </c>
      <c r="C144" s="8" t="s">
        <v>56</v>
      </c>
      <c r="D144" s="8" t="s">
        <v>57</v>
      </c>
      <c r="E144" s="8">
        <v>7</v>
      </c>
      <c r="F144" s="8">
        <v>6</v>
      </c>
      <c r="G144" s="8">
        <v>12</v>
      </c>
      <c r="H144" s="18">
        <f t="shared" si="4"/>
        <v>0</v>
      </c>
      <c r="I144" s="18" t="str">
        <f t="shared" si="5"/>
        <v>كافٍ ومستقر</v>
      </c>
    </row>
    <row r="145" spans="1:9" ht="20.100000000000001" customHeight="1" x14ac:dyDescent="0.25">
      <c r="A145" s="8" t="s">
        <v>75</v>
      </c>
      <c r="B145" s="8" t="s">
        <v>58</v>
      </c>
      <c r="C145" s="8" t="s">
        <v>59</v>
      </c>
      <c r="D145" s="8" t="s">
        <v>57</v>
      </c>
      <c r="E145" s="8">
        <v>6</v>
      </c>
      <c r="F145" s="8">
        <v>5</v>
      </c>
      <c r="G145" s="8">
        <v>8</v>
      </c>
      <c r="H145" s="18">
        <f t="shared" si="4"/>
        <v>0</v>
      </c>
      <c r="I145" s="18" t="str">
        <f t="shared" si="5"/>
        <v>كافٍ ومستقر</v>
      </c>
    </row>
    <row r="146" spans="1:9" ht="20.100000000000001" customHeight="1" x14ac:dyDescent="0.25">
      <c r="A146" s="8" t="s">
        <v>75</v>
      </c>
      <c r="B146" s="8" t="s">
        <v>60</v>
      </c>
      <c r="C146" s="8" t="s">
        <v>61</v>
      </c>
      <c r="D146" s="8" t="s">
        <v>57</v>
      </c>
      <c r="E146" s="8">
        <v>3</v>
      </c>
      <c r="F146" s="8">
        <v>5</v>
      </c>
      <c r="G146" s="8">
        <v>0</v>
      </c>
      <c r="H146" s="18">
        <f t="shared" si="4"/>
        <v>7</v>
      </c>
      <c r="I146" s="18" t="str">
        <f t="shared" si="5"/>
        <v>منخفض (استيفاء)</v>
      </c>
    </row>
    <row r="147" spans="1:9" ht="20.100000000000001" customHeight="1" x14ac:dyDescent="0.25">
      <c r="A147" s="8" t="s">
        <v>75</v>
      </c>
      <c r="B147" s="8" t="s">
        <v>62</v>
      </c>
      <c r="C147" s="8" t="s">
        <v>63</v>
      </c>
      <c r="D147" s="8" t="s">
        <v>57</v>
      </c>
      <c r="E147" s="8">
        <v>5</v>
      </c>
      <c r="F147" s="8">
        <v>4</v>
      </c>
      <c r="G147" s="8">
        <v>6</v>
      </c>
      <c r="H147" s="18">
        <f t="shared" si="4"/>
        <v>0</v>
      </c>
      <c r="I147" s="18" t="str">
        <f t="shared" si="5"/>
        <v>كافٍ ومستقر</v>
      </c>
    </row>
    <row r="148" spans="1:9" ht="20.100000000000001" customHeight="1" x14ac:dyDescent="0.25">
      <c r="A148" s="8" t="s">
        <v>75</v>
      </c>
      <c r="B148" s="8" t="s">
        <v>64</v>
      </c>
      <c r="C148" s="8" t="s">
        <v>65</v>
      </c>
      <c r="D148" s="8" t="s">
        <v>57</v>
      </c>
      <c r="E148" s="8">
        <v>4</v>
      </c>
      <c r="F148" s="8">
        <v>3</v>
      </c>
      <c r="G148" s="8">
        <v>4</v>
      </c>
      <c r="H148" s="18">
        <f t="shared" si="4"/>
        <v>0</v>
      </c>
      <c r="I148" s="18" t="str">
        <f t="shared" si="5"/>
        <v>كافٍ ومستقر</v>
      </c>
    </row>
    <row r="149" spans="1:9" ht="20.100000000000001" customHeight="1" x14ac:dyDescent="0.25">
      <c r="A149" s="8" t="s">
        <v>75</v>
      </c>
      <c r="B149" s="8" t="s">
        <v>66</v>
      </c>
      <c r="C149" s="8" t="s">
        <v>67</v>
      </c>
      <c r="D149" s="8" t="s">
        <v>57</v>
      </c>
      <c r="E149" s="8">
        <v>35</v>
      </c>
      <c r="F149" s="8">
        <v>12</v>
      </c>
      <c r="G149" s="8">
        <v>45</v>
      </c>
      <c r="H149" s="18">
        <f t="shared" si="4"/>
        <v>0</v>
      </c>
      <c r="I149" s="18" t="str">
        <f t="shared" si="5"/>
        <v>مخزون زائد</v>
      </c>
    </row>
    <row r="150" spans="1:9" ht="20.100000000000001" customHeight="1" x14ac:dyDescent="0.25">
      <c r="A150" s="8" t="s">
        <v>75</v>
      </c>
      <c r="B150" s="8" t="s">
        <v>68</v>
      </c>
      <c r="C150" s="8" t="s">
        <v>69</v>
      </c>
      <c r="D150" s="8" t="s">
        <v>57</v>
      </c>
      <c r="E150" s="8">
        <v>8</v>
      </c>
      <c r="F150" s="8">
        <v>5</v>
      </c>
      <c r="G150" s="8">
        <v>10</v>
      </c>
      <c r="H150" s="18">
        <f t="shared" si="4"/>
        <v>0</v>
      </c>
      <c r="I150" s="18" t="str">
        <f t="shared" si="5"/>
        <v>كافٍ ومستقر</v>
      </c>
    </row>
    <row r="151" spans="1:9" ht="20.100000000000001" customHeight="1" x14ac:dyDescent="0.25">
      <c r="A151" s="8" t="s">
        <v>75</v>
      </c>
      <c r="B151" s="8" t="s">
        <v>70</v>
      </c>
      <c r="C151" s="8" t="s">
        <v>71</v>
      </c>
      <c r="D151" s="8" t="s">
        <v>57</v>
      </c>
      <c r="E151" s="8">
        <v>10</v>
      </c>
      <c r="F151" s="8">
        <v>3</v>
      </c>
      <c r="G151" s="8">
        <v>5</v>
      </c>
      <c r="H151" s="18">
        <f t="shared" si="4"/>
        <v>0</v>
      </c>
      <c r="I151" s="18" t="str">
        <f t="shared" si="5"/>
        <v>مخزون زائد</v>
      </c>
    </row>
    <row r="152" spans="1:9" ht="20.100000000000001" customHeight="1" x14ac:dyDescent="0.25">
      <c r="A152" s="1" t="s">
        <v>78</v>
      </c>
      <c r="E152">
        <f>SUM(E2:E151)</f>
        <v>3121</v>
      </c>
      <c r="F152">
        <f>SUM(F2:F151)</f>
        <v>2550</v>
      </c>
      <c r="G152">
        <f>SUM(G2:G52)</f>
        <v>4350</v>
      </c>
      <c r="H152">
        <f>SUM(H2:H151)</f>
        <v>1362</v>
      </c>
    </row>
  </sheetData>
  <phoneticPr fontId="4" type="noConversion"/>
  <conditionalFormatting sqref="I2:I151">
    <cfRule type="containsText" dxfId="1" priority="1" operator="containsText" text="منخفض">
      <formula>NOT(ISERROR(SEARCH("منخفض",I2)))</formula>
    </cfRule>
    <cfRule type="containsText" dxfId="0" priority="2" operator="containsText" text="منتهي">
      <formula>NOT(ISERROR(SEARCH("منتهي",I2)))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837A-B668-4AE5-B3B2-018C515AABD8}">
  <dimension ref="A1:H16"/>
  <sheetViews>
    <sheetView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7" style="2" customWidth="1"/>
    <col min="2" max="2" width="17.85546875" customWidth="1"/>
    <col min="3" max="3" width="13.140625" customWidth="1"/>
    <col min="4" max="4" width="30.140625" customWidth="1"/>
    <col min="5" max="5" width="15.42578125" customWidth="1"/>
    <col min="6" max="6" width="14" customWidth="1"/>
    <col min="7" max="7" width="15" customWidth="1"/>
    <col min="8" max="8" width="17" customWidth="1"/>
  </cols>
  <sheetData>
    <row r="1" spans="1:8" ht="50.1" customHeight="1" x14ac:dyDescent="0.25">
      <c r="A1" s="21" t="s">
        <v>79</v>
      </c>
      <c r="B1" s="3" t="s">
        <v>0</v>
      </c>
      <c r="C1" s="3" t="s">
        <v>1</v>
      </c>
      <c r="D1" s="3" t="s">
        <v>2</v>
      </c>
      <c r="E1" s="3" t="s">
        <v>80</v>
      </c>
      <c r="F1" s="3" t="s">
        <v>81</v>
      </c>
      <c r="G1" s="3" t="s">
        <v>82</v>
      </c>
      <c r="H1" s="22" t="s">
        <v>83</v>
      </c>
    </row>
    <row r="2" spans="1:8" ht="30" customHeight="1" x14ac:dyDescent="0.25">
      <c r="A2" s="23">
        <v>46235</v>
      </c>
      <c r="B2" s="8" t="s">
        <v>7</v>
      </c>
      <c r="C2" s="8" t="s">
        <v>8</v>
      </c>
      <c r="D2" s="8" t="s">
        <v>9</v>
      </c>
      <c r="E2" s="8">
        <v>50</v>
      </c>
      <c r="F2" s="8">
        <v>40</v>
      </c>
      <c r="G2" s="8">
        <v>60</v>
      </c>
      <c r="H2" s="8">
        <f>E2+F2-G2</f>
        <v>30</v>
      </c>
    </row>
    <row r="3" spans="1:8" ht="30" customHeight="1" x14ac:dyDescent="0.25">
      <c r="A3" s="23">
        <v>46242</v>
      </c>
      <c r="B3" s="8" t="s">
        <v>7</v>
      </c>
      <c r="C3" s="8" t="s">
        <v>8</v>
      </c>
      <c r="D3" s="8" t="s">
        <v>9</v>
      </c>
      <c r="E3" s="8">
        <v>30</v>
      </c>
      <c r="F3" s="8">
        <v>30</v>
      </c>
      <c r="G3" s="8">
        <v>45</v>
      </c>
      <c r="H3" s="8">
        <f t="shared" ref="H3:H16" si="0">E3+F3-G3</f>
        <v>15</v>
      </c>
    </row>
    <row r="4" spans="1:8" ht="30" customHeight="1" x14ac:dyDescent="0.25">
      <c r="A4" s="23">
        <v>46249</v>
      </c>
      <c r="B4" s="8" t="s">
        <v>7</v>
      </c>
      <c r="C4" s="8" t="s">
        <v>8</v>
      </c>
      <c r="D4" s="8" t="s">
        <v>9</v>
      </c>
      <c r="E4" s="8">
        <v>15</v>
      </c>
      <c r="F4" s="8">
        <v>0</v>
      </c>
      <c r="G4" s="8">
        <v>10</v>
      </c>
      <c r="H4" s="8">
        <f t="shared" si="0"/>
        <v>5</v>
      </c>
    </row>
    <row r="5" spans="1:8" ht="30" customHeight="1" x14ac:dyDescent="0.25">
      <c r="A5" s="23">
        <v>46256</v>
      </c>
      <c r="B5" s="8" t="s">
        <v>7</v>
      </c>
      <c r="C5" s="8" t="s">
        <v>8</v>
      </c>
      <c r="D5" s="8" t="s">
        <v>9</v>
      </c>
      <c r="E5" s="8">
        <v>5</v>
      </c>
      <c r="F5" s="8">
        <v>20</v>
      </c>
      <c r="G5" s="8">
        <v>15</v>
      </c>
      <c r="H5" s="8">
        <f t="shared" si="0"/>
        <v>10</v>
      </c>
    </row>
    <row r="6" spans="1:8" ht="30" customHeight="1" x14ac:dyDescent="0.25">
      <c r="A6" s="23">
        <v>46235</v>
      </c>
      <c r="B6" s="8" t="s">
        <v>7</v>
      </c>
      <c r="C6" s="8" t="s">
        <v>13</v>
      </c>
      <c r="D6" s="8" t="s">
        <v>14</v>
      </c>
      <c r="E6" s="8">
        <v>30</v>
      </c>
      <c r="F6" s="8">
        <v>0</v>
      </c>
      <c r="G6" s="8">
        <v>20</v>
      </c>
      <c r="H6" s="8">
        <f t="shared" si="0"/>
        <v>10</v>
      </c>
    </row>
    <row r="7" spans="1:8" ht="30" customHeight="1" x14ac:dyDescent="0.25">
      <c r="A7" s="23">
        <v>46242</v>
      </c>
      <c r="B7" s="8" t="s">
        <v>7</v>
      </c>
      <c r="C7" s="8" t="s">
        <v>13</v>
      </c>
      <c r="D7" s="8" t="s">
        <v>14</v>
      </c>
      <c r="E7" s="8">
        <v>10</v>
      </c>
      <c r="F7" s="8">
        <v>0</v>
      </c>
      <c r="G7" s="8">
        <v>10</v>
      </c>
      <c r="H7" s="8">
        <f t="shared" si="0"/>
        <v>0</v>
      </c>
    </row>
    <row r="8" spans="1:8" ht="30" customHeight="1" x14ac:dyDescent="0.25">
      <c r="A8" s="23">
        <v>46249</v>
      </c>
      <c r="B8" s="8" t="s">
        <v>7</v>
      </c>
      <c r="C8" s="8" t="s">
        <v>13</v>
      </c>
      <c r="D8" s="8" t="s">
        <v>14</v>
      </c>
      <c r="E8" s="8">
        <v>0</v>
      </c>
      <c r="F8" s="8">
        <v>0</v>
      </c>
      <c r="G8" s="8">
        <v>0</v>
      </c>
      <c r="H8" s="8">
        <f t="shared" si="0"/>
        <v>0</v>
      </c>
    </row>
    <row r="9" spans="1:8" ht="30" customHeight="1" x14ac:dyDescent="0.25">
      <c r="A9" s="23">
        <v>46256</v>
      </c>
      <c r="B9" s="8" t="s">
        <v>7</v>
      </c>
      <c r="C9" s="8" t="s">
        <v>13</v>
      </c>
      <c r="D9" s="8" t="s">
        <v>14</v>
      </c>
      <c r="E9" s="8">
        <v>0</v>
      </c>
      <c r="F9" s="8">
        <v>0</v>
      </c>
      <c r="G9" s="8">
        <v>0</v>
      </c>
      <c r="H9" s="8">
        <f t="shared" si="0"/>
        <v>0</v>
      </c>
    </row>
    <row r="10" spans="1:8" ht="30" customHeight="1" x14ac:dyDescent="0.25">
      <c r="A10" s="23">
        <v>46235</v>
      </c>
      <c r="B10" s="8" t="s">
        <v>72</v>
      </c>
      <c r="C10" s="8" t="s">
        <v>28</v>
      </c>
      <c r="D10" s="8" t="s">
        <v>29</v>
      </c>
      <c r="E10" s="8">
        <v>85</v>
      </c>
      <c r="F10" s="8">
        <v>60</v>
      </c>
      <c r="G10" s="8">
        <v>70</v>
      </c>
      <c r="H10" s="8">
        <f t="shared" si="0"/>
        <v>75</v>
      </c>
    </row>
    <row r="11" spans="1:8" ht="30" customHeight="1" x14ac:dyDescent="0.25">
      <c r="A11" s="23">
        <v>46242</v>
      </c>
      <c r="B11" s="8" t="s">
        <v>72</v>
      </c>
      <c r="C11" s="8" t="s">
        <v>28</v>
      </c>
      <c r="D11" s="8" t="s">
        <v>29</v>
      </c>
      <c r="E11" s="8">
        <v>75</v>
      </c>
      <c r="F11" s="8">
        <v>50</v>
      </c>
      <c r="G11" s="8">
        <v>65</v>
      </c>
      <c r="H11" s="8">
        <f t="shared" si="0"/>
        <v>60</v>
      </c>
    </row>
    <row r="12" spans="1:8" ht="30" customHeight="1" x14ac:dyDescent="0.25">
      <c r="A12" s="23">
        <v>46249</v>
      </c>
      <c r="B12" s="8" t="s">
        <v>72</v>
      </c>
      <c r="C12" s="8" t="s">
        <v>28</v>
      </c>
      <c r="D12" s="8" t="s">
        <v>29</v>
      </c>
      <c r="E12" s="8">
        <v>60</v>
      </c>
      <c r="F12" s="8">
        <v>55</v>
      </c>
      <c r="G12" s="8">
        <v>60</v>
      </c>
      <c r="H12" s="8">
        <f t="shared" si="0"/>
        <v>55</v>
      </c>
    </row>
    <row r="13" spans="1:8" ht="30" customHeight="1" x14ac:dyDescent="0.25">
      <c r="A13" s="23">
        <v>46256</v>
      </c>
      <c r="B13" s="8" t="s">
        <v>72</v>
      </c>
      <c r="C13" s="8" t="s">
        <v>28</v>
      </c>
      <c r="D13" s="8" t="s">
        <v>29</v>
      </c>
      <c r="E13" s="8">
        <v>55</v>
      </c>
      <c r="F13" s="8">
        <v>50</v>
      </c>
      <c r="G13" s="8">
        <v>58</v>
      </c>
      <c r="H13" s="8">
        <f t="shared" si="0"/>
        <v>47</v>
      </c>
    </row>
    <row r="14" spans="1:8" ht="30" customHeight="1" x14ac:dyDescent="0.25">
      <c r="A14" s="23">
        <v>46235</v>
      </c>
      <c r="B14" s="8" t="s">
        <v>73</v>
      </c>
      <c r="C14" s="8" t="s">
        <v>11</v>
      </c>
      <c r="D14" s="8" t="s">
        <v>12</v>
      </c>
      <c r="E14" s="8">
        <v>55</v>
      </c>
      <c r="F14" s="8">
        <v>0</v>
      </c>
      <c r="G14" s="8">
        <v>35</v>
      </c>
      <c r="H14" s="8">
        <f t="shared" si="0"/>
        <v>20</v>
      </c>
    </row>
    <row r="15" spans="1:8" ht="30" customHeight="1" x14ac:dyDescent="0.25">
      <c r="A15" s="23">
        <v>46242</v>
      </c>
      <c r="B15" s="8" t="s">
        <v>73</v>
      </c>
      <c r="C15" s="8" t="s">
        <v>11</v>
      </c>
      <c r="D15" s="8" t="s">
        <v>12</v>
      </c>
      <c r="E15" s="8">
        <v>20</v>
      </c>
      <c r="F15" s="8">
        <v>0</v>
      </c>
      <c r="G15" s="8">
        <v>20</v>
      </c>
      <c r="H15" s="8">
        <f t="shared" si="0"/>
        <v>0</v>
      </c>
    </row>
    <row r="16" spans="1:8" ht="30" customHeight="1" x14ac:dyDescent="0.25">
      <c r="A16" s="23">
        <v>46249</v>
      </c>
      <c r="B16" s="8" t="s">
        <v>73</v>
      </c>
      <c r="C16" s="8" t="s">
        <v>11</v>
      </c>
      <c r="D16" s="8" t="s">
        <v>12</v>
      </c>
      <c r="E16" s="8">
        <v>0</v>
      </c>
      <c r="F16" s="8">
        <v>0</v>
      </c>
      <c r="G16" s="8">
        <v>0</v>
      </c>
      <c r="H16" s="8">
        <f t="shared" si="0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31C-00A8-4B8C-BDD0-7AD52FF1A1FB}">
  <sheetPr>
    <pageSetUpPr autoPageBreaks="0"/>
  </sheetPr>
  <dimension ref="A1:G12"/>
  <sheetViews>
    <sheetView workbookViewId="0">
      <selection activeCell="I21" sqref="I21"/>
    </sheetView>
  </sheetViews>
  <sheetFormatPr defaultRowHeight="15" x14ac:dyDescent="0.25"/>
  <cols>
    <col min="1" max="1" width="16.140625" style="2" bestFit="1" customWidth="1"/>
    <col min="2" max="2" width="15.85546875" customWidth="1"/>
    <col min="3" max="3" width="14.85546875" customWidth="1"/>
    <col min="4" max="4" width="26.28515625" customWidth="1"/>
    <col min="5" max="5" width="13.5703125" customWidth="1"/>
    <col min="6" max="6" width="12.42578125" customWidth="1"/>
    <col min="7" max="7" width="12.42578125" style="4" customWidth="1"/>
  </cols>
  <sheetData>
    <row r="1" spans="1:7" ht="50.1" customHeight="1" x14ac:dyDescent="0.25">
      <c r="A1" s="21" t="s">
        <v>84</v>
      </c>
      <c r="B1" s="3" t="s">
        <v>0</v>
      </c>
      <c r="C1" s="3" t="s">
        <v>1</v>
      </c>
      <c r="D1" s="3" t="s">
        <v>2</v>
      </c>
      <c r="E1" s="3" t="s">
        <v>85</v>
      </c>
      <c r="F1" s="3" t="s">
        <v>86</v>
      </c>
      <c r="G1" s="24" t="s">
        <v>87</v>
      </c>
    </row>
    <row r="2" spans="1:7" ht="30" customHeight="1" x14ac:dyDescent="0.25">
      <c r="A2" s="23">
        <v>46259</v>
      </c>
      <c r="B2" s="8" t="s">
        <v>7</v>
      </c>
      <c r="C2" s="8" t="s">
        <v>8</v>
      </c>
      <c r="D2" s="8" t="s">
        <v>9</v>
      </c>
      <c r="E2" s="8">
        <v>10</v>
      </c>
      <c r="F2" s="8">
        <v>8</v>
      </c>
      <c r="G2" s="26">
        <f>F2-E2</f>
        <v>-2</v>
      </c>
    </row>
    <row r="3" spans="1:7" ht="30" customHeight="1" x14ac:dyDescent="0.25">
      <c r="A3" s="23">
        <v>46259</v>
      </c>
      <c r="B3" s="8" t="s">
        <v>7</v>
      </c>
      <c r="C3" s="8" t="s">
        <v>40</v>
      </c>
      <c r="D3" s="8" t="s">
        <v>41</v>
      </c>
      <c r="E3" s="8">
        <v>8</v>
      </c>
      <c r="F3" s="8">
        <v>5</v>
      </c>
      <c r="G3" s="25">
        <f t="shared" ref="G3:G12" si="0">F3-E3</f>
        <v>-3</v>
      </c>
    </row>
    <row r="4" spans="1:7" ht="30" customHeight="1" x14ac:dyDescent="0.25">
      <c r="A4" s="23">
        <v>46259</v>
      </c>
      <c r="B4" s="8" t="s">
        <v>7</v>
      </c>
      <c r="C4" s="8" t="s">
        <v>55</v>
      </c>
      <c r="D4" s="8" t="s">
        <v>56</v>
      </c>
      <c r="E4" s="8">
        <v>4</v>
      </c>
      <c r="F4" s="8">
        <v>5</v>
      </c>
      <c r="G4" s="25">
        <f t="shared" si="0"/>
        <v>1</v>
      </c>
    </row>
    <row r="5" spans="1:7" ht="30" customHeight="1" x14ac:dyDescent="0.25">
      <c r="A5" s="23">
        <v>46260</v>
      </c>
      <c r="B5" s="8" t="s">
        <v>72</v>
      </c>
      <c r="C5" s="8" t="s">
        <v>28</v>
      </c>
      <c r="D5" s="8" t="s">
        <v>29</v>
      </c>
      <c r="E5" s="8">
        <v>65</v>
      </c>
      <c r="F5" s="8">
        <v>63</v>
      </c>
      <c r="G5" s="25">
        <f t="shared" si="0"/>
        <v>-2</v>
      </c>
    </row>
    <row r="6" spans="1:7" ht="30" customHeight="1" x14ac:dyDescent="0.25">
      <c r="A6" s="23">
        <v>46260</v>
      </c>
      <c r="B6" s="8" t="s">
        <v>72</v>
      </c>
      <c r="C6" s="8" t="s">
        <v>64</v>
      </c>
      <c r="D6" s="8" t="s">
        <v>65</v>
      </c>
      <c r="E6" s="8">
        <v>10</v>
      </c>
      <c r="F6" s="8">
        <v>11</v>
      </c>
      <c r="G6" s="25">
        <f t="shared" si="0"/>
        <v>1</v>
      </c>
    </row>
    <row r="7" spans="1:7" ht="30" customHeight="1" x14ac:dyDescent="0.25">
      <c r="A7" s="23">
        <v>46261</v>
      </c>
      <c r="B7" s="8" t="s">
        <v>74</v>
      </c>
      <c r="C7" s="8" t="s">
        <v>25</v>
      </c>
      <c r="D7" s="8" t="s">
        <v>26</v>
      </c>
      <c r="E7" s="8">
        <v>36</v>
      </c>
      <c r="F7" s="8">
        <v>35</v>
      </c>
      <c r="G7" s="25">
        <f t="shared" si="0"/>
        <v>-1</v>
      </c>
    </row>
    <row r="8" spans="1:7" ht="30" customHeight="1" x14ac:dyDescent="0.25">
      <c r="A8" s="23">
        <v>46261</v>
      </c>
      <c r="B8" s="8" t="s">
        <v>74</v>
      </c>
      <c r="C8" s="8" t="s">
        <v>34</v>
      </c>
      <c r="D8" s="8" t="s">
        <v>35</v>
      </c>
      <c r="E8" s="8">
        <v>48</v>
      </c>
      <c r="F8" s="8">
        <v>50</v>
      </c>
      <c r="G8" s="25">
        <f t="shared" si="0"/>
        <v>2</v>
      </c>
    </row>
    <row r="9" spans="1:7" ht="30" customHeight="1" x14ac:dyDescent="0.25">
      <c r="A9" s="23">
        <v>46262</v>
      </c>
      <c r="B9" s="8" t="s">
        <v>73</v>
      </c>
      <c r="C9" s="8" t="s">
        <v>8</v>
      </c>
      <c r="D9" s="8" t="s">
        <v>9</v>
      </c>
      <c r="E9" s="8">
        <v>7</v>
      </c>
      <c r="F9" s="8">
        <v>5</v>
      </c>
      <c r="G9" s="25">
        <f t="shared" si="0"/>
        <v>-2</v>
      </c>
    </row>
    <row r="10" spans="1:7" ht="30" customHeight="1" x14ac:dyDescent="0.25">
      <c r="A10" s="23">
        <v>46262</v>
      </c>
      <c r="B10" s="8" t="s">
        <v>73</v>
      </c>
      <c r="C10" s="8" t="s">
        <v>17</v>
      </c>
      <c r="D10" s="8" t="s">
        <v>18</v>
      </c>
      <c r="E10" s="8">
        <v>24</v>
      </c>
      <c r="F10" s="8">
        <v>20</v>
      </c>
      <c r="G10" s="25">
        <f t="shared" si="0"/>
        <v>-4</v>
      </c>
    </row>
    <row r="11" spans="1:7" ht="30" customHeight="1" x14ac:dyDescent="0.25">
      <c r="A11" s="23">
        <v>46262</v>
      </c>
      <c r="B11" s="8" t="s">
        <v>73</v>
      </c>
      <c r="C11" s="8" t="s">
        <v>40</v>
      </c>
      <c r="D11" s="8" t="s">
        <v>41</v>
      </c>
      <c r="E11" s="8">
        <v>6</v>
      </c>
      <c r="F11" s="8">
        <v>4</v>
      </c>
      <c r="G11" s="25">
        <f t="shared" si="0"/>
        <v>-2</v>
      </c>
    </row>
    <row r="12" spans="1:7" ht="30" customHeight="1" x14ac:dyDescent="0.25">
      <c r="A12" s="23">
        <v>46262</v>
      </c>
      <c r="B12" s="8" t="s">
        <v>73</v>
      </c>
      <c r="C12" s="8" t="s">
        <v>66</v>
      </c>
      <c r="D12" s="8" t="s">
        <v>67</v>
      </c>
      <c r="E12" s="8">
        <v>14</v>
      </c>
      <c r="F12" s="8">
        <v>15</v>
      </c>
      <c r="G12" s="25">
        <f t="shared" si="0"/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C735-7E44-417F-9437-7E2EF366A464}">
  <dimension ref="A1:F10"/>
  <sheetViews>
    <sheetView showGridLines="0" zoomScaleNormal="100" workbookViewId="0">
      <selection activeCell="G18" sqref="G18"/>
    </sheetView>
  </sheetViews>
  <sheetFormatPr defaultRowHeight="15" x14ac:dyDescent="0.25"/>
  <cols>
    <col min="1" max="1" width="19.7109375" customWidth="1"/>
    <col min="2" max="2" width="16.85546875" customWidth="1"/>
    <col min="3" max="3" width="21.42578125" customWidth="1"/>
    <col min="4" max="4" width="23.28515625" customWidth="1"/>
    <col min="5" max="5" width="23.140625" customWidth="1"/>
    <col min="6" max="6" width="20" customWidth="1"/>
  </cols>
  <sheetData>
    <row r="1" spans="1:6" s="6" customFormat="1" ht="39.950000000000003" customHeight="1" x14ac:dyDescent="0.25">
      <c r="A1" s="17" t="s">
        <v>88</v>
      </c>
      <c r="B1" s="17" t="s">
        <v>91</v>
      </c>
      <c r="C1" s="17" t="s">
        <v>89</v>
      </c>
      <c r="D1" s="17" t="s">
        <v>93</v>
      </c>
    </row>
    <row r="2" spans="1:6" s="5" customFormat="1" ht="30" customHeight="1" x14ac:dyDescent="0.3">
      <c r="A2" s="7">
        <f>COUNTA([1]E1المخزون!$A$2:$A$151)</f>
        <v>150</v>
      </c>
      <c r="B2" s="7">
        <f>COUNTIF(المخزون!$I$2:$I$151, "منتهي")</f>
        <v>9</v>
      </c>
      <c r="C2" s="7">
        <f>COUNTIF(المخزون!$I$2:$I$151, "منخفض*")</f>
        <v>34</v>
      </c>
      <c r="D2" s="7">
        <f>SUM(المخزون!$H$2:$H$151)</f>
        <v>1362</v>
      </c>
    </row>
    <row r="5" spans="1:6" ht="39.950000000000003" customHeight="1" x14ac:dyDescent="0.25">
      <c r="A5" s="16" t="s">
        <v>0</v>
      </c>
      <c r="B5" s="16" t="s">
        <v>90</v>
      </c>
      <c r="C5" s="16" t="s">
        <v>91</v>
      </c>
      <c r="D5" s="16" t="s">
        <v>89</v>
      </c>
      <c r="E5" s="16" t="s">
        <v>76</v>
      </c>
      <c r="F5" s="16" t="s">
        <v>92</v>
      </c>
    </row>
    <row r="6" spans="1:6" ht="30" customHeight="1" x14ac:dyDescent="0.25">
      <c r="A6" s="12" t="str">
        <f>المخزون!A2</f>
        <v>فرع الرياض - العليا</v>
      </c>
      <c r="B6" s="13">
        <f>COUNTIF(المخزون!$A$2:$A$151, A6)</f>
        <v>30</v>
      </c>
      <c r="C6" s="13">
        <f>COUNTIFS(المخزون!$A$2:$A$151, A6, المخزون!$I$2:$I$151, "منتهي")</f>
        <v>2</v>
      </c>
      <c r="D6" s="13">
        <f>COUNTIFS(المخزون!$A$2:$A$151, A6, المخزون!$I$2:$I$151, "منخفض*")</f>
        <v>9</v>
      </c>
      <c r="E6" s="13">
        <f>SUMIFS(المخزون!$H$2:$H$151, المخزون!$A$2:$A$151, A6)</f>
        <v>338</v>
      </c>
      <c r="F6" s="11" t="str">
        <f>IF(D6&gt;=10, "حرج - نقص حاد", IF(D6&gt;=5, "متوسط", "مستقر"))</f>
        <v>متوسط</v>
      </c>
    </row>
    <row r="7" spans="1:6" ht="30" customHeight="1" x14ac:dyDescent="0.25">
      <c r="A7" s="14" t="str">
        <f>المخزون!A32</f>
        <v>فرع جدة - التحلية</v>
      </c>
      <c r="B7" s="15">
        <f>COUNTIF(المخزون!$A$2:$A$151, A7)</f>
        <v>30</v>
      </c>
      <c r="C7" s="15">
        <f>COUNTIFS(المخزون!$A$2:$A$151, A7, المخزون!$I$2:$I$151, "منتهي")</f>
        <v>2</v>
      </c>
      <c r="D7" s="15">
        <f>COUNTIFS(المخزون!$A$2:$A$151, A7, المخزون!$I$2:$I$151, "منخفض*")</f>
        <v>3</v>
      </c>
      <c r="E7" s="15">
        <f>SUMIFS(المخزون!$H$2:$H$151, المخزون!$A$2:$A$151, A7)</f>
        <v>149</v>
      </c>
      <c r="F7" s="9" t="str">
        <f t="shared" ref="F7:F10" si="0">IF(D7&gt;=10, "حرج - نقص حاد", IF(D7&gt;=5, "متوسط", "مستقر"))</f>
        <v>مستقر</v>
      </c>
    </row>
    <row r="8" spans="1:6" ht="30" customHeight="1" x14ac:dyDescent="0.25">
      <c r="A8" s="12" t="str">
        <f>المخزون!A62</f>
        <v>فرع مكة - العزيزية</v>
      </c>
      <c r="B8" s="13">
        <f>COUNTIF(المخزون!$A$2:$A$151, A8)</f>
        <v>30</v>
      </c>
      <c r="C8" s="13">
        <f>COUNTIFS(المخزون!$A$2:$A$151, A8, المخزون!$I$2:$I$151, "منتهي")</f>
        <v>2</v>
      </c>
      <c r="D8" s="13">
        <f>COUNTIFS(المخزون!$A$2:$A$151, A8, المخزون!$I$2:$I$151, "منخفض*")</f>
        <v>15</v>
      </c>
      <c r="E8" s="13">
        <f>SUMIFS(المخزون!$H$2:$H$151, المخزون!$A$2:$A$151, A8)</f>
        <v>528</v>
      </c>
      <c r="F8" s="10" t="str">
        <f t="shared" si="0"/>
        <v>حرج - نقص حاد</v>
      </c>
    </row>
    <row r="9" spans="1:6" ht="30" customHeight="1" x14ac:dyDescent="0.25">
      <c r="A9" s="14" t="str">
        <f>المخزون!A92</f>
        <v>فرع الدمام - الشاطئ</v>
      </c>
      <c r="B9" s="15">
        <f>COUNTIF(المخزون!$A$2:$A$151, A9)</f>
        <v>30</v>
      </c>
      <c r="C9" s="15">
        <f>COUNTIFS(المخزون!$A$2:$A$151, A9, المخزون!$I$2:$I$151, "منتهي")</f>
        <v>2</v>
      </c>
      <c r="D9" s="15">
        <f>COUNTIFS(المخزون!$A$2:$A$151, A9, المخزون!$I$2:$I$151, "منخفض*")</f>
        <v>3</v>
      </c>
      <c r="E9" s="15">
        <f>SUMIFS(المخزون!$H$2:$H$151, المخزون!$A$2:$A$151, A9)</f>
        <v>168</v>
      </c>
      <c r="F9" s="9" t="str">
        <f t="shared" si="0"/>
        <v>مستقر</v>
      </c>
    </row>
    <row r="10" spans="1:6" ht="30" customHeight="1" x14ac:dyDescent="0.25">
      <c r="A10" s="12" t="str">
        <f>المخزون!A122</f>
        <v>فرع الرياض - النخيل</v>
      </c>
      <c r="B10" s="13">
        <f>COUNTIF(المخزون!$A$2:$A$151, A10)</f>
        <v>30</v>
      </c>
      <c r="C10" s="13">
        <f>COUNTIFS(المخزون!$A$2:$A$151, A10, المخزون!$I$2:$I$151, "منتهي")</f>
        <v>1</v>
      </c>
      <c r="D10" s="13">
        <f>COUNTIFS(المخزون!$A$2:$A$151, A10, المخزون!$I$2:$I$151, "منخفض*")</f>
        <v>4</v>
      </c>
      <c r="E10" s="13">
        <f>SUMIFS(المخزون!$H$2:$H$151, المخزون!$A$2:$A$151, A10)</f>
        <v>179</v>
      </c>
      <c r="F10" s="9" t="str">
        <f t="shared" si="0"/>
        <v>مستقر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المخزون</vt:lpstr>
      <vt:lpstr>حركة المخزون</vt:lpstr>
      <vt:lpstr>الجرد</vt:lpstr>
      <vt:lpstr>التقرير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بندر الراضي</dc:creator>
  <cp:lastModifiedBy>بندر الراضي</cp:lastModifiedBy>
  <cp:lastPrinted>2026-09-24T18:49:29Z</cp:lastPrinted>
  <dcterms:created xsi:type="dcterms:W3CDTF">2026-09-23T19:25:56Z</dcterms:created>
  <dcterms:modified xsi:type="dcterms:W3CDTF">2026-10-27T18:20:24Z</dcterms:modified>
</cp:coreProperties>
</file>